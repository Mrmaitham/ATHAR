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مقارنة" sheetId="1" state="visible" r:id="rId3"/>
    <sheet name="الموردين" sheetId="2" state="visible" r:id="rId4"/>
    <sheet name="سلة الشراء المقترحة" sheetId="3" state="visible" r:id="rId5"/>
  </sheets>
  <definedNames>
    <definedName function="false" hidden="true" localSheetId="0" name="_xlnm._FilterDatabase" vbProcedure="false">المقارنة!$A$1:$K$43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<sst xmlns="http://schemas.openxmlformats.org/spreadsheetml/2006/main" count="436" uniqueCount="157">
  <si>
    <t xml:space="preserve">المادة</t>
  </si>
  <si>
    <t xml:space="preserve">المورد</t>
  </si>
  <si>
    <t xml:space="preserve">المنتج</t>
  </si>
  <si>
    <t xml:space="preserve">بلد الماركة</t>
  </si>
  <si>
    <t xml:space="preserve">الحجم (مل)</t>
  </si>
  <si>
    <t xml:space="preserve">السعر (د.ك)</t>
  </si>
  <si>
    <t xml:space="preserve">سعر 100 مل</t>
  </si>
  <si>
    <t xml:space="preserve">الجودة (حسب فئة الماركة)</t>
  </si>
  <si>
    <t xml:space="preserve">رقم المورد</t>
  </si>
  <si>
    <t xml:space="preserve">ملاحظة</t>
  </si>
  <si>
    <t xml:space="preserve">⭐ التوصية</t>
  </si>
  <si>
    <t xml:space="preserve">1. غسيل بدون ماء</t>
  </si>
  <si>
    <t xml:space="preserve">Auto1 / Sonax Kuwait (KAPICO)</t>
  </si>
  <si>
    <t xml:space="preserve">Xtreme Waterless Wash &amp; Shine</t>
  </si>
  <si>
    <t xml:space="preserve">ألمانيا 🇩🇪</t>
  </si>
  <si>
    <t xml:space="preserve">★★★★★ احترافي</t>
  </si>
  <si>
    <t xml:space="preserve">+965 9411 7370</t>
  </si>
  <si>
    <t xml:space="preserve">✅ الأفضل قيمة</t>
  </si>
  <si>
    <t xml:space="preserve">Meguiar's Kuwait</t>
  </si>
  <si>
    <t xml:space="preserve">Ultimate Waterless Wash &amp; Wax G3626</t>
  </si>
  <si>
    <t xml:space="preserve">أمريكا 🇺🇸</t>
  </si>
  <si>
    <t xml:space="preserve">★★★★ عالي (استهلاكي)</t>
  </si>
  <si>
    <t xml:space="preserve">غير منشور</t>
  </si>
  <si>
    <t xml:space="preserve">السعر من نتائج البحث</t>
  </si>
  <si>
    <t xml:space="preserve">MA-FRA Kuwait</t>
  </si>
  <si>
    <t xml:space="preserve">— ما فيه منتج مخصص (Fast Cleaner مسحة خفيفة بس)</t>
  </si>
  <si>
    <t xml:space="preserve">إيطاليا 🇮🇹</t>
  </si>
  <si>
    <t xml:space="preserve">غير مذكور</t>
  </si>
  <si>
    <t xml:space="preserve">—</t>
  </si>
  <si>
    <t xml:space="preserve">★★★★ متوسط-عالي</t>
  </si>
  <si>
    <t xml:space="preserve">666-157-81 (من موقعهم)</t>
  </si>
  <si>
    <t xml:space="preserve">اسألهم عن منتج الغسيل بدون ماء</t>
  </si>
  <si>
    <t xml:space="preserve">Inpro Garage — وكيل Koch-Chemie</t>
  </si>
  <si>
    <t xml:space="preserve">اسأل عن مركّز غسيل بدون ماء</t>
  </si>
  <si>
    <t xml:space="preserve">+965 9090 3009</t>
  </si>
  <si>
    <t xml:space="preserve">ما ينشرون أسعار</t>
  </si>
  <si>
    <t xml:space="preserve">2. واكس سبراي</t>
  </si>
  <si>
    <t xml:space="preserve">Profiline Spray &amp; Seal</t>
  </si>
  <si>
    <t xml:space="preserve">حجم جملة</t>
  </si>
  <si>
    <t xml:space="preserve">Xtreme Spray &amp; Seal</t>
  </si>
  <si>
    <t xml:space="preserve">Last Touch Express</t>
  </si>
  <si>
    <t xml:space="preserve">الحجم مو مذكور (غالبًا 500 مل)</t>
  </si>
  <si>
    <t xml:space="preserve">Quik Wax 24oz</t>
  </si>
  <si>
    <t xml:space="preserve">السعر غير مؤكد (4.5 أو 4.99)</t>
  </si>
  <si>
    <t xml:space="preserve">ProTech Kuwait</t>
  </si>
  <si>
    <t xml:space="preserve">Maxi Shine</t>
  </si>
  <si>
    <t xml:space="preserve">فرنسا 🇫🇷 (ماركتهم)</t>
  </si>
  <si>
    <t xml:space="preserve">★★★★ (ماركة محل، غالي)</t>
  </si>
  <si>
    <t xml:space="preserve">+965 9691 2001 / 2491 0075</t>
  </si>
  <si>
    <t xml:space="preserve">غير متوفر وقت البحث</t>
  </si>
  <si>
    <t xml:space="preserve">3. منظف متعدد APC</t>
  </si>
  <si>
    <t xml:space="preserve">Profiline Multistar</t>
  </si>
  <si>
    <t xml:space="preserve">Profiline MultiClean Alkaline</t>
  </si>
  <si>
    <t xml:space="preserve">Split</t>
  </si>
  <si>
    <t xml:space="preserve">الحجم مو مذكور</t>
  </si>
  <si>
    <t xml:space="preserve">Multi-Surface Cleaner (معقّم)</t>
  </si>
  <si>
    <t xml:space="preserve">معقّم أكثر من منظف ثقيل</t>
  </si>
  <si>
    <t xml:space="preserve">Burhani Car Accessories</t>
  </si>
  <si>
    <t xml:space="preserve">Dr.Marcus All Textile Cleaner</t>
  </si>
  <si>
    <t xml:space="preserve">بولندا 🇵🇱 (Dr.Marcus) / أدوات</t>
  </si>
  <si>
    <t xml:space="preserve">★★★ اقتصادي</t>
  </si>
  <si>
    <t xml:space="preserve">+965 6600 7502</t>
  </si>
  <si>
    <t xml:space="preserve">للأقمشة بس — مو بديل كامل</t>
  </si>
  <si>
    <t xml:space="preserve">4. تلميع بلاستيك وتابلوه وربلات</t>
  </si>
  <si>
    <t xml:space="preserve">Profiline Plastic Care</t>
  </si>
  <si>
    <t xml:space="preserve">3in1 Plastic Treatment</t>
  </si>
  <si>
    <t xml:space="preserve">Plastic Protector</t>
  </si>
  <si>
    <t xml:space="preserve">Dr.Marcus Satin Cockpit Milk</t>
  </si>
  <si>
    <t xml:space="preserve">للداخلية بس</t>
  </si>
  <si>
    <t xml:space="preserve">5. تلميع إطارات</t>
  </si>
  <si>
    <t xml:space="preserve">Dr.Marcus Intense Tire Shine</t>
  </si>
  <si>
    <t xml:space="preserve">الأرخص</t>
  </si>
  <si>
    <t xml:space="preserve">Nouveau Noir</t>
  </si>
  <si>
    <t xml:space="preserve">Xtreme Tire Gloss Spray</t>
  </si>
  <si>
    <t xml:space="preserve">Endurance Tire Gel G7516</t>
  </si>
  <si>
    <t xml:space="preserve">Tyre Shiner</t>
  </si>
  <si>
    <t xml:space="preserve">6. منظف زجاج</t>
  </si>
  <si>
    <t xml:space="preserve">Glass Cleaner Car</t>
  </si>
  <si>
    <t xml:space="preserve">Glass Cleaning Star</t>
  </si>
  <si>
    <t xml:space="preserve">Glass Clear</t>
  </si>
  <si>
    <t xml:space="preserve">Window Cleaner</t>
  </si>
  <si>
    <t xml:space="preserve">Perfect Clarity Glass Cleaner G8224</t>
  </si>
  <si>
    <t xml:space="preserve">السعر مو ظاهر</t>
  </si>
  <si>
    <t xml:space="preserve">7. كمباوند (سبشل ببلز)</t>
  </si>
  <si>
    <t xml:space="preserve">Polish Corrector Heavy Cut</t>
  </si>
  <si>
    <t xml:space="preserve">Profiline Cutmax</t>
  </si>
  <si>
    <t xml:space="preserve">احترافي</t>
  </si>
  <si>
    <t xml:space="preserve">Scratch Remover</t>
  </si>
  <si>
    <t xml:space="preserve">للخدوش الصغيرة باليد — مو بديل</t>
  </si>
  <si>
    <t xml:space="preserve">8. بوليش نهائي (سبشل ببلز)</t>
  </si>
  <si>
    <t xml:space="preserve">Polish Illumina Ultra Finish</t>
  </si>
  <si>
    <t xml:space="preserve">Profiline Perfect Finish</t>
  </si>
  <si>
    <t xml:space="preserve">9. فوط مايكروفايبر</t>
  </si>
  <si>
    <t xml:space="preserve">Microfiber Car Towel 58×38 سم</t>
  </si>
  <si>
    <t xml:space="preserve">الأرخص — للحبة</t>
  </si>
  <si>
    <t xml:space="preserve">Microfiber Cloth Plus (2 حبة)</t>
  </si>
  <si>
    <t xml:space="preserve">0.95 للحبة</t>
  </si>
  <si>
    <t xml:space="preserve">Double Face Cloths</t>
  </si>
  <si>
    <t xml:space="preserve">Finishing Microfiber 40×40</t>
  </si>
  <si>
    <t xml:space="preserve">10. إسفنجة</t>
  </si>
  <si>
    <t xml:space="preserve">Car Cleaning Sponge</t>
  </si>
  <si>
    <t xml:space="preserve">Wendy Magic Sponge</t>
  </si>
  <si>
    <t xml:space="preserve">Interior Sponge Duo</t>
  </si>
  <si>
    <t xml:space="preserve">الماركة الرئيسية</t>
  </si>
  <si>
    <t xml:space="preserve">الهاتف</t>
  </si>
  <si>
    <t xml:space="preserve">الموقع</t>
  </si>
  <si>
    <t xml:space="preserve">وش يميزه</t>
  </si>
  <si>
    <t xml:space="preserve">وش تسأله</t>
  </si>
  <si>
    <t xml:space="preserve">MA-FRA</t>
  </si>
  <si>
    <t xml:space="preserve">mafra-kw.com</t>
  </si>
  <si>
    <t xml:space="preserve">عندهم معظم الطقم بأسعار معقولة</t>
  </si>
  <si>
    <t xml:space="preserve">أحجام 5 لتر؟ سعر جملة؟ منتج غسيل بدون ماء؟</t>
  </si>
  <si>
    <t xml:space="preserve">Sonax</t>
  </si>
  <si>
    <t xml:space="preserve">theauto1.com</t>
  </si>
  <si>
    <t xml:space="preserve">الوحيد اللي ينشر أحجام جملة (5/10/25 لتر)</t>
  </si>
  <si>
    <t xml:space="preserve">خصم مغاسل؟ توصيل؟</t>
  </si>
  <si>
    <t xml:space="preserve">Dr.Marcus + أدوات</t>
  </si>
  <si>
    <t xml:space="preserve">burhanicaracc.com</t>
  </si>
  <si>
    <t xml:space="preserve">أرخص فوط وإسفنج وأدوات</t>
  </si>
  <si>
    <t xml:space="preserve">سعر كرتون فوط (50 حبة)؟</t>
  </si>
  <si>
    <t xml:space="preserve">ProTech (فرنسي)</t>
  </si>
  <si>
    <t xml:space="preserve">protechkuwait.com</t>
  </si>
  <si>
    <t xml:space="preserve">جودة جيدة بس الأغلى — مركز ديتيلنق</t>
  </si>
  <si>
    <t xml:space="preserve">Meguiar's</t>
  </si>
  <si>
    <t xml:space="preserve">meguiars-kwt.com</t>
  </si>
  <si>
    <t xml:space="preserve">ماركة معروفة، بس الأسعار جزئية والرقم مو منشور</t>
  </si>
  <si>
    <t xml:space="preserve">Koch-Chemie</t>
  </si>
  <si>
    <t xml:space="preserve">koch-chemie.com (قائمة الوكلاء)</t>
  </si>
  <si>
    <t xml:space="preserve">من أقوى الماركات الاحترافية بالعالم — ما ينشر أسعار</t>
  </si>
  <si>
    <t xml:space="preserve">قائمة أسعار جملة كاملة + مركّز غسيل بدون ماء</t>
  </si>
  <si>
    <t xml:space="preserve">المنتج المختار</t>
  </si>
  <si>
    <t xml:space="preserve">الكمية</t>
  </si>
  <si>
    <t xml:space="preserve">سعر الحبة</t>
  </si>
  <si>
    <t xml:space="preserve">المجموع</t>
  </si>
  <si>
    <t xml:space="preserve">غسيل بدون ماء</t>
  </si>
  <si>
    <t xml:space="preserve">Sonax Xtreme Waterless 750ml</t>
  </si>
  <si>
    <t xml:space="preserve">Auto1/Sonax</t>
  </si>
  <si>
    <t xml:space="preserve">واكس سبراي</t>
  </si>
  <si>
    <t xml:space="preserve">Sonax Profiline Spray &amp; Seal 5L</t>
  </si>
  <si>
    <t xml:space="preserve">منظف متعدد</t>
  </si>
  <si>
    <t xml:space="preserve">Sonax Profiline Multistar 10L</t>
  </si>
  <si>
    <r>
      <rPr>
        <sz val="11"/>
        <color theme="1"/>
        <rFont val="FreeSans"/>
        <family val="2"/>
      </rPr>
      <t xml:space="preserve">بلاستيك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تابلوه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ربلات</t>
    </r>
  </si>
  <si>
    <t xml:space="preserve">MA-FRA 3in1 Plastic Treatment</t>
  </si>
  <si>
    <t xml:space="preserve">إطارات</t>
  </si>
  <si>
    <t xml:space="preserve">MA-FRA Nouveau Noir</t>
  </si>
  <si>
    <t xml:space="preserve">زجاج</t>
  </si>
  <si>
    <t xml:space="preserve">MA-FRA Glass Cleaner Car</t>
  </si>
  <si>
    <t xml:space="preserve">كمباوند</t>
  </si>
  <si>
    <t xml:space="preserve">MA-FRA Polish Corrector</t>
  </si>
  <si>
    <t xml:space="preserve">بوليش نهائي</t>
  </si>
  <si>
    <t xml:space="preserve">MA-FRA Polish Illumina</t>
  </si>
  <si>
    <t xml:space="preserve">فوط مايكروفايبر</t>
  </si>
  <si>
    <t xml:space="preserve">Microfiber Car Towel</t>
  </si>
  <si>
    <t xml:space="preserve">Burhani</t>
  </si>
  <si>
    <t xml:space="preserve">إسفنج</t>
  </si>
  <si>
    <t xml:space="preserve">الإجمالي</t>
  </si>
  <si>
    <r>
      <rPr>
        <sz val="11"/>
        <color theme="1"/>
        <rFont val="FreeSans"/>
        <family val="2"/>
      </rPr>
      <t xml:space="preserve">الأسعار أسعار تجزئة من المواقع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أكتوبر </t>
    </r>
    <r>
      <rPr>
        <sz val="11"/>
        <color theme="1"/>
        <rFont val="Calibri"/>
        <family val="2"/>
        <charset val="1"/>
      </rPr>
      <t xml:space="preserve">2026) — </t>
    </r>
    <r>
      <rPr>
        <sz val="11"/>
        <color theme="1"/>
        <rFont val="FreeSans"/>
        <family val="2"/>
      </rPr>
      <t xml:space="preserve">أسعار الجملة تُطلب من المورد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الجودة تقدير حسب فئة الماركة، مو فحص مخبري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</si>
</sst>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theme="1"/>
      <name val="FreeSans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AAA"/>
        <bgColor rgb="FF003366"/>
      </patternFill>
    </fill>
    <fill>
      <patternFill patternType="solid">
        <fgColor rgb="FFFFF3B0"/>
        <bgColor rgb="FFEEF2FB"/>
      </patternFill>
    </fill>
    <fill>
      <patternFill patternType="solid">
        <fgColor rgb="FFEE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A"/>
      </left>
      <right style="thin">
        <color rgb="FFC9D3EA"/>
      </right>
      <top style="thin">
        <color rgb="FFC9D3EA"/>
      </top>
      <bottom style="thin">
        <color rgb="FFC9D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63AAA"/>
          <bgColor rgb="FF000000"/>
        </patternFill>
      </fill>
    </dxf>
    <dxf>
      <fill>
        <patternFill patternType="solid">
          <fgColor rgb="FFEEF2FB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B"/>
      <rgbColor rgb="FFCCFFFF"/>
      <rgbColor rgb="FF660066"/>
      <rgbColor rgb="FFFF8080"/>
      <rgbColor rgb="FF0066CC"/>
      <rgbColor rgb="FFC9D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63AA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7" min="5" style="0" width="11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32"/>
    <col collapsed="false" customWidth="true" hidden="false" outlineLevel="0" max="11" min="11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n">
        <v>750</v>
      </c>
      <c r="F2" s="3" t="n">
        <v>5</v>
      </c>
      <c r="G2" s="3" t="n">
        <f aca="false">F2/E2*100</f>
        <v>0.666666666666667</v>
      </c>
      <c r="H2" s="2" t="s">
        <v>15</v>
      </c>
      <c r="I2" s="2" t="s">
        <v>16</v>
      </c>
      <c r="J2" s="2"/>
      <c r="K2" s="2" t="s">
        <v>17</v>
      </c>
    </row>
    <row r="3" customFormat="false" ht="15" hidden="false" customHeight="false" outlineLevel="0" collapsed="false">
      <c r="A3" s="4" t="s">
        <v>11</v>
      </c>
      <c r="B3" s="4" t="s">
        <v>18</v>
      </c>
      <c r="C3" s="4" t="s">
        <v>19</v>
      </c>
      <c r="D3" s="4" t="s">
        <v>20</v>
      </c>
      <c r="E3" s="4" t="n">
        <v>768</v>
      </c>
      <c r="F3" s="5" t="n">
        <v>6.99</v>
      </c>
      <c r="G3" s="5" t="n">
        <f aca="false">F3/E3*100</f>
        <v>0.91015625</v>
      </c>
      <c r="H3" s="4" t="s">
        <v>21</v>
      </c>
      <c r="I3" s="4" t="s">
        <v>22</v>
      </c>
      <c r="J3" s="4" t="s">
        <v>23</v>
      </c>
      <c r="K3" s="4"/>
    </row>
    <row r="4" customFormat="false" ht="23.85" hidden="false" customHeight="false" outlineLevel="0" collapsed="false">
      <c r="A4" s="4" t="s">
        <v>11</v>
      </c>
      <c r="B4" s="4" t="s">
        <v>24</v>
      </c>
      <c r="C4" s="4" t="s">
        <v>25</v>
      </c>
      <c r="D4" s="4" t="s">
        <v>26</v>
      </c>
      <c r="E4" s="4" t="s">
        <v>27</v>
      </c>
      <c r="F4" s="5" t="n">
        <v>3</v>
      </c>
      <c r="G4" s="4" t="s">
        <v>28</v>
      </c>
      <c r="H4" s="4" t="s">
        <v>29</v>
      </c>
      <c r="I4" s="4" t="s">
        <v>30</v>
      </c>
      <c r="J4" s="4" t="s">
        <v>31</v>
      </c>
      <c r="K4" s="4"/>
    </row>
    <row r="5" customFormat="false" ht="23.85" hidden="false" customHeight="false" outlineLevel="0" collapsed="false">
      <c r="A5" s="4" t="s">
        <v>11</v>
      </c>
      <c r="B5" s="4" t="s">
        <v>32</v>
      </c>
      <c r="C5" s="4" t="s">
        <v>33</v>
      </c>
      <c r="D5" s="4" t="s">
        <v>14</v>
      </c>
      <c r="E5" s="4" t="s">
        <v>27</v>
      </c>
      <c r="F5" s="5" t="s">
        <v>22</v>
      </c>
      <c r="G5" s="4" t="s">
        <v>28</v>
      </c>
      <c r="H5" s="4" t="s">
        <v>15</v>
      </c>
      <c r="I5" s="4" t="s">
        <v>34</v>
      </c>
      <c r="J5" s="4" t="s">
        <v>35</v>
      </c>
      <c r="K5" s="4"/>
    </row>
    <row r="6" customFormat="false" ht="23.85" hidden="false" customHeight="false" outlineLevel="0" collapsed="false">
      <c r="A6" s="2" t="s">
        <v>36</v>
      </c>
      <c r="B6" s="2" t="s">
        <v>12</v>
      </c>
      <c r="C6" s="2" t="s">
        <v>37</v>
      </c>
      <c r="D6" s="2" t="s">
        <v>14</v>
      </c>
      <c r="E6" s="2" t="n">
        <v>5000</v>
      </c>
      <c r="F6" s="3" t="n">
        <v>16.3</v>
      </c>
      <c r="G6" s="3" t="n">
        <f aca="false">F6/E6*100</f>
        <v>0.326</v>
      </c>
      <c r="H6" s="2" t="s">
        <v>15</v>
      </c>
      <c r="I6" s="2" t="s">
        <v>16</v>
      </c>
      <c r="J6" s="2" t="s">
        <v>38</v>
      </c>
      <c r="K6" s="2" t="s">
        <v>17</v>
      </c>
    </row>
    <row r="7" customFormat="false" ht="23.85" hidden="false" customHeight="false" outlineLevel="0" collapsed="false">
      <c r="A7" s="6" t="s">
        <v>36</v>
      </c>
      <c r="B7" s="6" t="s">
        <v>12</v>
      </c>
      <c r="C7" s="6" t="s">
        <v>39</v>
      </c>
      <c r="D7" s="6" t="s">
        <v>14</v>
      </c>
      <c r="E7" s="6" t="n">
        <v>750</v>
      </c>
      <c r="F7" s="7" t="n">
        <v>3.1</v>
      </c>
      <c r="G7" s="7" t="n">
        <f aca="false">F7/E7*100</f>
        <v>0.413333333333333</v>
      </c>
      <c r="H7" s="6" t="s">
        <v>15</v>
      </c>
      <c r="I7" s="6" t="s">
        <v>16</v>
      </c>
      <c r="J7" s="6"/>
      <c r="K7" s="6"/>
    </row>
    <row r="8" customFormat="false" ht="15" hidden="false" customHeight="false" outlineLevel="0" collapsed="false">
      <c r="A8" s="6" t="s">
        <v>36</v>
      </c>
      <c r="B8" s="6" t="s">
        <v>24</v>
      </c>
      <c r="C8" s="6" t="s">
        <v>40</v>
      </c>
      <c r="D8" s="6" t="s">
        <v>26</v>
      </c>
      <c r="E8" s="6" t="s">
        <v>27</v>
      </c>
      <c r="F8" s="7" t="n">
        <v>3</v>
      </c>
      <c r="G8" s="6" t="s">
        <v>28</v>
      </c>
      <c r="H8" s="6" t="s">
        <v>29</v>
      </c>
      <c r="I8" s="6" t="s">
        <v>30</v>
      </c>
      <c r="J8" s="6" t="s">
        <v>41</v>
      </c>
      <c r="K8" s="6"/>
    </row>
    <row r="9" customFormat="false" ht="15" hidden="false" customHeight="false" outlineLevel="0" collapsed="false">
      <c r="A9" s="6" t="s">
        <v>36</v>
      </c>
      <c r="B9" s="6" t="s">
        <v>18</v>
      </c>
      <c r="C9" s="6" t="s">
        <v>42</v>
      </c>
      <c r="D9" s="6" t="s">
        <v>20</v>
      </c>
      <c r="E9" s="6" t="n">
        <v>710</v>
      </c>
      <c r="F9" s="7" t="n">
        <v>4.99</v>
      </c>
      <c r="G9" s="7" t="n">
        <f aca="false">F9/E9*100</f>
        <v>0.702816901408451</v>
      </c>
      <c r="H9" s="6" t="s">
        <v>21</v>
      </c>
      <c r="I9" s="6" t="s">
        <v>22</v>
      </c>
      <c r="J9" s="6" t="s">
        <v>43</v>
      </c>
      <c r="K9" s="6"/>
    </row>
    <row r="10" customFormat="false" ht="15" hidden="false" customHeight="false" outlineLevel="0" collapsed="false">
      <c r="A10" s="6" t="s">
        <v>36</v>
      </c>
      <c r="B10" s="6" t="s">
        <v>44</v>
      </c>
      <c r="C10" s="6" t="s">
        <v>45</v>
      </c>
      <c r="D10" s="6" t="s">
        <v>46</v>
      </c>
      <c r="E10" s="6" t="s">
        <v>27</v>
      </c>
      <c r="F10" s="7" t="n">
        <v>5</v>
      </c>
      <c r="G10" s="6" t="s">
        <v>28</v>
      </c>
      <c r="H10" s="6" t="s">
        <v>47</v>
      </c>
      <c r="I10" s="6" t="s">
        <v>48</v>
      </c>
      <c r="J10" s="6" t="s">
        <v>49</v>
      </c>
      <c r="K10" s="6"/>
    </row>
    <row r="11" customFormat="false" ht="23.85" hidden="false" customHeight="false" outlineLevel="0" collapsed="false">
      <c r="A11" s="2" t="s">
        <v>50</v>
      </c>
      <c r="B11" s="2" t="s">
        <v>12</v>
      </c>
      <c r="C11" s="2" t="s">
        <v>51</v>
      </c>
      <c r="D11" s="2" t="s">
        <v>14</v>
      </c>
      <c r="E11" s="2" t="n">
        <v>10000</v>
      </c>
      <c r="F11" s="3" t="n">
        <v>25</v>
      </c>
      <c r="G11" s="3" t="n">
        <f aca="false">F11/E11*100</f>
        <v>0.25</v>
      </c>
      <c r="H11" s="2" t="s">
        <v>15</v>
      </c>
      <c r="I11" s="2" t="s">
        <v>16</v>
      </c>
      <c r="J11" s="2" t="s">
        <v>38</v>
      </c>
      <c r="K11" s="2" t="s">
        <v>17</v>
      </c>
    </row>
    <row r="12" customFormat="false" ht="23.85" hidden="false" customHeight="false" outlineLevel="0" collapsed="false">
      <c r="A12" s="4" t="s">
        <v>50</v>
      </c>
      <c r="B12" s="4" t="s">
        <v>12</v>
      </c>
      <c r="C12" s="4" t="s">
        <v>51</v>
      </c>
      <c r="D12" s="4" t="s">
        <v>14</v>
      </c>
      <c r="E12" s="4" t="n">
        <v>1000</v>
      </c>
      <c r="F12" s="5" t="n">
        <v>4.5</v>
      </c>
      <c r="G12" s="5" t="n">
        <f aca="false">F12/E12*100</f>
        <v>0.45</v>
      </c>
      <c r="H12" s="4" t="s">
        <v>15</v>
      </c>
      <c r="I12" s="4" t="s">
        <v>16</v>
      </c>
      <c r="J12" s="4"/>
      <c r="K12" s="4"/>
    </row>
    <row r="13" customFormat="false" ht="23.85" hidden="false" customHeight="false" outlineLevel="0" collapsed="false">
      <c r="A13" s="4" t="s">
        <v>50</v>
      </c>
      <c r="B13" s="4" t="s">
        <v>12</v>
      </c>
      <c r="C13" s="4" t="s">
        <v>52</v>
      </c>
      <c r="D13" s="4" t="s">
        <v>14</v>
      </c>
      <c r="E13" s="4" t="n">
        <v>5000</v>
      </c>
      <c r="F13" s="5" t="n">
        <v>13</v>
      </c>
      <c r="G13" s="5" t="n">
        <f aca="false">F13/E13*100</f>
        <v>0.26</v>
      </c>
      <c r="H13" s="4" t="s">
        <v>15</v>
      </c>
      <c r="I13" s="4" t="s">
        <v>16</v>
      </c>
      <c r="J13" s="4" t="s">
        <v>38</v>
      </c>
      <c r="K13" s="4"/>
    </row>
    <row r="14" customFormat="false" ht="15" hidden="false" customHeight="false" outlineLevel="0" collapsed="false">
      <c r="A14" s="4" t="s">
        <v>50</v>
      </c>
      <c r="B14" s="4" t="s">
        <v>24</v>
      </c>
      <c r="C14" s="4" t="s">
        <v>53</v>
      </c>
      <c r="D14" s="4" t="s">
        <v>26</v>
      </c>
      <c r="E14" s="4" t="s">
        <v>27</v>
      </c>
      <c r="F14" s="5" t="n">
        <v>2.5</v>
      </c>
      <c r="G14" s="4" t="s">
        <v>28</v>
      </c>
      <c r="H14" s="4" t="s">
        <v>29</v>
      </c>
      <c r="I14" s="4" t="s">
        <v>30</v>
      </c>
      <c r="J14" s="4" t="s">
        <v>54</v>
      </c>
      <c r="K14" s="4"/>
    </row>
    <row r="15" customFormat="false" ht="15" hidden="false" customHeight="false" outlineLevel="0" collapsed="false">
      <c r="A15" s="4" t="s">
        <v>50</v>
      </c>
      <c r="B15" s="4" t="s">
        <v>44</v>
      </c>
      <c r="C15" s="4" t="s">
        <v>55</v>
      </c>
      <c r="D15" s="4" t="s">
        <v>46</v>
      </c>
      <c r="E15" s="4" t="s">
        <v>27</v>
      </c>
      <c r="F15" s="5" t="n">
        <v>4.95</v>
      </c>
      <c r="G15" s="4" t="s">
        <v>28</v>
      </c>
      <c r="H15" s="4" t="s">
        <v>47</v>
      </c>
      <c r="I15" s="4" t="s">
        <v>48</v>
      </c>
      <c r="J15" s="4" t="s">
        <v>56</v>
      </c>
      <c r="K15" s="4"/>
    </row>
    <row r="16" customFormat="false" ht="15" hidden="false" customHeight="false" outlineLevel="0" collapsed="false">
      <c r="A16" s="4" t="s">
        <v>50</v>
      </c>
      <c r="B16" s="4" t="s">
        <v>57</v>
      </c>
      <c r="C16" s="4" t="s">
        <v>58</v>
      </c>
      <c r="D16" s="4" t="s">
        <v>59</v>
      </c>
      <c r="E16" s="4" t="s">
        <v>27</v>
      </c>
      <c r="F16" s="5" t="n">
        <v>1.5</v>
      </c>
      <c r="G16" s="4" t="s">
        <v>28</v>
      </c>
      <c r="H16" s="4" t="s">
        <v>60</v>
      </c>
      <c r="I16" s="4" t="s">
        <v>61</v>
      </c>
      <c r="J16" s="4" t="s">
        <v>62</v>
      </c>
      <c r="K16" s="4"/>
    </row>
    <row r="17" customFormat="false" ht="23.85" hidden="false" customHeight="false" outlineLevel="0" collapsed="false">
      <c r="A17" s="6" t="s">
        <v>63</v>
      </c>
      <c r="B17" s="6" t="s">
        <v>12</v>
      </c>
      <c r="C17" s="6" t="s">
        <v>64</v>
      </c>
      <c r="D17" s="6" t="s">
        <v>14</v>
      </c>
      <c r="E17" s="6" t="n">
        <v>5000</v>
      </c>
      <c r="F17" s="7" t="n">
        <v>21.5</v>
      </c>
      <c r="G17" s="7" t="n">
        <f aca="false">F17/E17*100</f>
        <v>0.43</v>
      </c>
      <c r="H17" s="6" t="s">
        <v>15</v>
      </c>
      <c r="I17" s="6" t="s">
        <v>16</v>
      </c>
      <c r="J17" s="6" t="s">
        <v>38</v>
      </c>
      <c r="K17" s="6"/>
    </row>
    <row r="18" customFormat="false" ht="23.85" hidden="false" customHeight="false" outlineLevel="0" collapsed="false">
      <c r="A18" s="6" t="s">
        <v>63</v>
      </c>
      <c r="B18" s="6" t="s">
        <v>12</v>
      </c>
      <c r="C18" s="6" t="s">
        <v>64</v>
      </c>
      <c r="D18" s="6" t="s">
        <v>14</v>
      </c>
      <c r="E18" s="6" t="n">
        <v>1000</v>
      </c>
      <c r="F18" s="7" t="n">
        <v>6.3</v>
      </c>
      <c r="G18" s="7" t="n">
        <f aca="false">F18/E18*100</f>
        <v>0.63</v>
      </c>
      <c r="H18" s="6" t="s">
        <v>15</v>
      </c>
      <c r="I18" s="6" t="s">
        <v>16</v>
      </c>
      <c r="J18" s="6"/>
      <c r="K18" s="6"/>
    </row>
    <row r="19" customFormat="false" ht="15" hidden="false" customHeight="false" outlineLevel="0" collapsed="false">
      <c r="A19" s="2" t="s">
        <v>63</v>
      </c>
      <c r="B19" s="2" t="s">
        <v>24</v>
      </c>
      <c r="C19" s="2" t="s">
        <v>65</v>
      </c>
      <c r="D19" s="2" t="s">
        <v>26</v>
      </c>
      <c r="E19" s="2" t="s">
        <v>27</v>
      </c>
      <c r="F19" s="3" t="n">
        <v>3</v>
      </c>
      <c r="G19" s="2" t="s">
        <v>28</v>
      </c>
      <c r="H19" s="2" t="s">
        <v>29</v>
      </c>
      <c r="I19" s="2" t="s">
        <v>30</v>
      </c>
      <c r="J19" s="2" t="s">
        <v>54</v>
      </c>
      <c r="K19" s="2" t="s">
        <v>17</v>
      </c>
    </row>
    <row r="20" customFormat="false" ht="15" hidden="false" customHeight="false" outlineLevel="0" collapsed="false">
      <c r="A20" s="6" t="s">
        <v>63</v>
      </c>
      <c r="B20" s="6" t="s">
        <v>44</v>
      </c>
      <c r="C20" s="6" t="s">
        <v>66</v>
      </c>
      <c r="D20" s="6" t="s">
        <v>46</v>
      </c>
      <c r="E20" s="6" t="s">
        <v>27</v>
      </c>
      <c r="F20" s="7" t="n">
        <v>4.75</v>
      </c>
      <c r="G20" s="6" t="s">
        <v>28</v>
      </c>
      <c r="H20" s="6" t="s">
        <v>47</v>
      </c>
      <c r="I20" s="6" t="s">
        <v>48</v>
      </c>
      <c r="J20" s="6"/>
      <c r="K20" s="6"/>
    </row>
    <row r="21" customFormat="false" ht="15" hidden="false" customHeight="false" outlineLevel="0" collapsed="false">
      <c r="A21" s="6" t="s">
        <v>63</v>
      </c>
      <c r="B21" s="6" t="s">
        <v>57</v>
      </c>
      <c r="C21" s="6" t="s">
        <v>67</v>
      </c>
      <c r="D21" s="6" t="s">
        <v>59</v>
      </c>
      <c r="E21" s="6" t="s">
        <v>27</v>
      </c>
      <c r="F21" s="7" t="n">
        <v>2</v>
      </c>
      <c r="G21" s="6" t="s">
        <v>28</v>
      </c>
      <c r="H21" s="6" t="s">
        <v>60</v>
      </c>
      <c r="I21" s="6" t="s">
        <v>61</v>
      </c>
      <c r="J21" s="6" t="s">
        <v>68</v>
      </c>
      <c r="K21" s="6"/>
    </row>
    <row r="22" customFormat="false" ht="15" hidden="false" customHeight="false" outlineLevel="0" collapsed="false">
      <c r="A22" s="4" t="s">
        <v>69</v>
      </c>
      <c r="B22" s="4" t="s">
        <v>57</v>
      </c>
      <c r="C22" s="4" t="s">
        <v>70</v>
      </c>
      <c r="D22" s="4" t="s">
        <v>59</v>
      </c>
      <c r="E22" s="4" t="s">
        <v>27</v>
      </c>
      <c r="F22" s="5" t="n">
        <v>1.5</v>
      </c>
      <c r="G22" s="4" t="s">
        <v>28</v>
      </c>
      <c r="H22" s="4" t="s">
        <v>60</v>
      </c>
      <c r="I22" s="4" t="s">
        <v>61</v>
      </c>
      <c r="J22" s="4" t="s">
        <v>71</v>
      </c>
      <c r="K22" s="4"/>
    </row>
    <row r="23" customFormat="false" ht="15" hidden="false" customHeight="false" outlineLevel="0" collapsed="false">
      <c r="A23" s="2" t="s">
        <v>69</v>
      </c>
      <c r="B23" s="2" t="s">
        <v>24</v>
      </c>
      <c r="C23" s="2" t="s">
        <v>72</v>
      </c>
      <c r="D23" s="2" t="s">
        <v>26</v>
      </c>
      <c r="E23" s="2" t="s">
        <v>27</v>
      </c>
      <c r="F23" s="3" t="n">
        <v>2</v>
      </c>
      <c r="G23" s="2" t="s">
        <v>28</v>
      </c>
      <c r="H23" s="2" t="s">
        <v>29</v>
      </c>
      <c r="I23" s="2" t="s">
        <v>30</v>
      </c>
      <c r="J23" s="2"/>
      <c r="K23" s="2" t="s">
        <v>17</v>
      </c>
    </row>
    <row r="24" customFormat="false" ht="23.85" hidden="false" customHeight="false" outlineLevel="0" collapsed="false">
      <c r="A24" s="4" t="s">
        <v>69</v>
      </c>
      <c r="B24" s="4" t="s">
        <v>12</v>
      </c>
      <c r="C24" s="4" t="s">
        <v>73</v>
      </c>
      <c r="D24" s="4" t="s">
        <v>14</v>
      </c>
      <c r="E24" s="4" t="n">
        <v>400</v>
      </c>
      <c r="F24" s="5" t="n">
        <v>4</v>
      </c>
      <c r="G24" s="5" t="n">
        <f aca="false">F24/E24*100</f>
        <v>1</v>
      </c>
      <c r="H24" s="4" t="s">
        <v>15</v>
      </c>
      <c r="I24" s="4" t="s">
        <v>16</v>
      </c>
      <c r="J24" s="4"/>
      <c r="K24" s="4"/>
    </row>
    <row r="25" customFormat="false" ht="15" hidden="false" customHeight="false" outlineLevel="0" collapsed="false">
      <c r="A25" s="4" t="s">
        <v>69</v>
      </c>
      <c r="B25" s="4" t="s">
        <v>18</v>
      </c>
      <c r="C25" s="4" t="s">
        <v>74</v>
      </c>
      <c r="D25" s="4" t="s">
        <v>20</v>
      </c>
      <c r="E25" s="4" t="n">
        <v>473</v>
      </c>
      <c r="F25" s="5" t="n">
        <v>4.99</v>
      </c>
      <c r="G25" s="5" t="n">
        <f aca="false">F25/E25*100</f>
        <v>1.05496828752643</v>
      </c>
      <c r="H25" s="4" t="s">
        <v>21</v>
      </c>
      <c r="I25" s="4" t="s">
        <v>22</v>
      </c>
      <c r="J25" s="4"/>
      <c r="K25" s="4"/>
    </row>
    <row r="26" customFormat="false" ht="15" hidden="false" customHeight="false" outlineLevel="0" collapsed="false">
      <c r="A26" s="4" t="s">
        <v>69</v>
      </c>
      <c r="B26" s="4" t="s">
        <v>44</v>
      </c>
      <c r="C26" s="4" t="s">
        <v>75</v>
      </c>
      <c r="D26" s="4" t="s">
        <v>46</v>
      </c>
      <c r="E26" s="4" t="s">
        <v>27</v>
      </c>
      <c r="F26" s="5" t="n">
        <v>7.5</v>
      </c>
      <c r="G26" s="4" t="s">
        <v>28</v>
      </c>
      <c r="H26" s="4" t="s">
        <v>47</v>
      </c>
      <c r="I26" s="4" t="s">
        <v>48</v>
      </c>
      <c r="J26" s="4"/>
      <c r="K26" s="4"/>
    </row>
    <row r="27" customFormat="false" ht="15" hidden="false" customHeight="false" outlineLevel="0" collapsed="false">
      <c r="A27" s="2" t="s">
        <v>76</v>
      </c>
      <c r="B27" s="2" t="s">
        <v>24</v>
      </c>
      <c r="C27" s="2" t="s">
        <v>77</v>
      </c>
      <c r="D27" s="2" t="s">
        <v>26</v>
      </c>
      <c r="E27" s="2" t="s">
        <v>27</v>
      </c>
      <c r="F27" s="3" t="n">
        <v>1.5</v>
      </c>
      <c r="G27" s="2" t="s">
        <v>28</v>
      </c>
      <c r="H27" s="2" t="s">
        <v>29</v>
      </c>
      <c r="I27" s="2" t="s">
        <v>30</v>
      </c>
      <c r="J27" s="2"/>
      <c r="K27" s="2" t="s">
        <v>17</v>
      </c>
    </row>
    <row r="28" customFormat="false" ht="23.85" hidden="false" customHeight="false" outlineLevel="0" collapsed="false">
      <c r="A28" s="6" t="s">
        <v>76</v>
      </c>
      <c r="B28" s="6" t="s">
        <v>12</v>
      </c>
      <c r="C28" s="6" t="s">
        <v>78</v>
      </c>
      <c r="D28" s="6" t="s">
        <v>14</v>
      </c>
      <c r="E28" s="6" t="n">
        <v>750</v>
      </c>
      <c r="F28" s="7" t="n">
        <v>2.5</v>
      </c>
      <c r="G28" s="7" t="n">
        <f aca="false">F28/E28*100</f>
        <v>0.333333333333333</v>
      </c>
      <c r="H28" s="6" t="s">
        <v>15</v>
      </c>
      <c r="I28" s="6" t="s">
        <v>16</v>
      </c>
      <c r="J28" s="6"/>
      <c r="K28" s="6"/>
    </row>
    <row r="29" customFormat="false" ht="23.85" hidden="false" customHeight="false" outlineLevel="0" collapsed="false">
      <c r="A29" s="6" t="s">
        <v>76</v>
      </c>
      <c r="B29" s="6" t="s">
        <v>12</v>
      </c>
      <c r="C29" s="6" t="s">
        <v>79</v>
      </c>
      <c r="D29" s="6" t="s">
        <v>14</v>
      </c>
      <c r="E29" s="6" t="n">
        <v>1000</v>
      </c>
      <c r="F29" s="7" t="n">
        <v>3</v>
      </c>
      <c r="G29" s="7" t="n">
        <f aca="false">F29/E29*100</f>
        <v>0.3</v>
      </c>
      <c r="H29" s="6" t="s">
        <v>15</v>
      </c>
      <c r="I29" s="6" t="s">
        <v>16</v>
      </c>
      <c r="J29" s="6"/>
      <c r="K29" s="6"/>
    </row>
    <row r="30" customFormat="false" ht="15" hidden="false" customHeight="false" outlineLevel="0" collapsed="false">
      <c r="A30" s="6" t="s">
        <v>76</v>
      </c>
      <c r="B30" s="6" t="s">
        <v>44</v>
      </c>
      <c r="C30" s="6" t="s">
        <v>80</v>
      </c>
      <c r="D30" s="6" t="s">
        <v>46</v>
      </c>
      <c r="E30" s="6" t="s">
        <v>27</v>
      </c>
      <c r="F30" s="7" t="n">
        <v>4.4</v>
      </c>
      <c r="G30" s="6" t="s">
        <v>28</v>
      </c>
      <c r="H30" s="6" t="s">
        <v>47</v>
      </c>
      <c r="I30" s="6" t="s">
        <v>48</v>
      </c>
      <c r="J30" s="6"/>
      <c r="K30" s="6"/>
    </row>
    <row r="31" customFormat="false" ht="15" hidden="false" customHeight="false" outlineLevel="0" collapsed="false">
      <c r="A31" s="6" t="s">
        <v>76</v>
      </c>
      <c r="B31" s="6" t="s">
        <v>18</v>
      </c>
      <c r="C31" s="6" t="s">
        <v>81</v>
      </c>
      <c r="D31" s="6" t="s">
        <v>20</v>
      </c>
      <c r="E31" s="6" t="n">
        <v>710</v>
      </c>
      <c r="F31" s="7" t="s">
        <v>22</v>
      </c>
      <c r="G31" s="6" t="s">
        <v>28</v>
      </c>
      <c r="H31" s="6" t="s">
        <v>21</v>
      </c>
      <c r="I31" s="6" t="s">
        <v>22</v>
      </c>
      <c r="J31" s="6" t="s">
        <v>82</v>
      </c>
      <c r="K31" s="6"/>
    </row>
    <row r="32" customFormat="false" ht="15" hidden="false" customHeight="false" outlineLevel="0" collapsed="false">
      <c r="A32" s="2" t="s">
        <v>83</v>
      </c>
      <c r="B32" s="2" t="s">
        <v>24</v>
      </c>
      <c r="C32" s="2" t="s">
        <v>84</v>
      </c>
      <c r="D32" s="2" t="s">
        <v>26</v>
      </c>
      <c r="E32" s="2" t="s">
        <v>27</v>
      </c>
      <c r="F32" s="3" t="n">
        <v>10</v>
      </c>
      <c r="G32" s="2" t="s">
        <v>28</v>
      </c>
      <c r="H32" s="2" t="s">
        <v>29</v>
      </c>
      <c r="I32" s="2" t="s">
        <v>30</v>
      </c>
      <c r="J32" s="2"/>
      <c r="K32" s="2" t="s">
        <v>17</v>
      </c>
    </row>
    <row r="33" customFormat="false" ht="23.85" hidden="false" customHeight="false" outlineLevel="0" collapsed="false">
      <c r="A33" s="4" t="s">
        <v>83</v>
      </c>
      <c r="B33" s="4" t="s">
        <v>12</v>
      </c>
      <c r="C33" s="4" t="s">
        <v>85</v>
      </c>
      <c r="D33" s="4" t="s">
        <v>14</v>
      </c>
      <c r="E33" s="4" t="n">
        <v>1000</v>
      </c>
      <c r="F33" s="5" t="n">
        <v>18</v>
      </c>
      <c r="G33" s="5" t="n">
        <f aca="false">F33/E33*100</f>
        <v>1.8</v>
      </c>
      <c r="H33" s="4" t="s">
        <v>15</v>
      </c>
      <c r="I33" s="4" t="s">
        <v>16</v>
      </c>
      <c r="J33" s="4" t="s">
        <v>86</v>
      </c>
      <c r="K33" s="4"/>
    </row>
    <row r="34" customFormat="false" ht="15" hidden="false" customHeight="false" outlineLevel="0" collapsed="false">
      <c r="A34" s="4" t="s">
        <v>83</v>
      </c>
      <c r="B34" s="4" t="s">
        <v>44</v>
      </c>
      <c r="C34" s="4" t="s">
        <v>87</v>
      </c>
      <c r="D34" s="4" t="s">
        <v>46</v>
      </c>
      <c r="E34" s="4" t="s">
        <v>27</v>
      </c>
      <c r="F34" s="5" t="n">
        <v>2.75</v>
      </c>
      <c r="G34" s="4" t="s">
        <v>28</v>
      </c>
      <c r="H34" s="4" t="s">
        <v>47</v>
      </c>
      <c r="I34" s="4" t="s">
        <v>48</v>
      </c>
      <c r="J34" s="4" t="s">
        <v>88</v>
      </c>
      <c r="K34" s="4"/>
    </row>
    <row r="35" customFormat="false" ht="15" hidden="false" customHeight="false" outlineLevel="0" collapsed="false">
      <c r="A35" s="2" t="s">
        <v>89</v>
      </c>
      <c r="B35" s="2" t="s">
        <v>24</v>
      </c>
      <c r="C35" s="2" t="s">
        <v>90</v>
      </c>
      <c r="D35" s="2" t="s">
        <v>26</v>
      </c>
      <c r="E35" s="2" t="s">
        <v>27</v>
      </c>
      <c r="F35" s="3" t="n">
        <v>7</v>
      </c>
      <c r="G35" s="2" t="s">
        <v>28</v>
      </c>
      <c r="H35" s="2" t="s">
        <v>29</v>
      </c>
      <c r="I35" s="2" t="s">
        <v>30</v>
      </c>
      <c r="J35" s="2"/>
      <c r="K35" s="2" t="s">
        <v>17</v>
      </c>
    </row>
    <row r="36" customFormat="false" ht="23.85" hidden="false" customHeight="false" outlineLevel="0" collapsed="false">
      <c r="A36" s="6" t="s">
        <v>89</v>
      </c>
      <c r="B36" s="6" t="s">
        <v>12</v>
      </c>
      <c r="C36" s="6" t="s">
        <v>91</v>
      </c>
      <c r="D36" s="6" t="s">
        <v>14</v>
      </c>
      <c r="E36" s="6" t="n">
        <v>1000</v>
      </c>
      <c r="F36" s="7" t="n">
        <v>18</v>
      </c>
      <c r="G36" s="7" t="n">
        <f aca="false">F36/E36*100</f>
        <v>1.8</v>
      </c>
      <c r="H36" s="6" t="s">
        <v>15</v>
      </c>
      <c r="I36" s="6" t="s">
        <v>16</v>
      </c>
      <c r="J36" s="6" t="s">
        <v>86</v>
      </c>
      <c r="K36" s="6"/>
    </row>
    <row r="37" customFormat="false" ht="23.85" hidden="false" customHeight="false" outlineLevel="0" collapsed="false">
      <c r="A37" s="2" t="s">
        <v>92</v>
      </c>
      <c r="B37" s="2" t="s">
        <v>57</v>
      </c>
      <c r="C37" s="2" t="s">
        <v>93</v>
      </c>
      <c r="D37" s="2" t="s">
        <v>59</v>
      </c>
      <c r="E37" s="2" t="s">
        <v>27</v>
      </c>
      <c r="F37" s="3" t="n">
        <v>0.75</v>
      </c>
      <c r="G37" s="2" t="s">
        <v>28</v>
      </c>
      <c r="H37" s="2" t="s">
        <v>60</v>
      </c>
      <c r="I37" s="2" t="s">
        <v>61</v>
      </c>
      <c r="J37" s="2" t="s">
        <v>94</v>
      </c>
      <c r="K37" s="2" t="s">
        <v>17</v>
      </c>
    </row>
    <row r="38" customFormat="false" ht="23.85" hidden="false" customHeight="false" outlineLevel="0" collapsed="false">
      <c r="A38" s="4" t="s">
        <v>92</v>
      </c>
      <c r="B38" s="4" t="s">
        <v>12</v>
      </c>
      <c r="C38" s="4" t="s">
        <v>95</v>
      </c>
      <c r="D38" s="4" t="s">
        <v>14</v>
      </c>
      <c r="E38" s="4" t="s">
        <v>27</v>
      </c>
      <c r="F38" s="5" t="n">
        <v>1.9</v>
      </c>
      <c r="G38" s="4" t="s">
        <v>28</v>
      </c>
      <c r="H38" s="4" t="s">
        <v>15</v>
      </c>
      <c r="I38" s="4" t="s">
        <v>16</v>
      </c>
      <c r="J38" s="4" t="s">
        <v>96</v>
      </c>
      <c r="K38" s="4"/>
    </row>
    <row r="39" customFormat="false" ht="15" hidden="false" customHeight="false" outlineLevel="0" collapsed="false">
      <c r="A39" s="4" t="s">
        <v>92</v>
      </c>
      <c r="B39" s="4" t="s">
        <v>24</v>
      </c>
      <c r="C39" s="4" t="s">
        <v>97</v>
      </c>
      <c r="D39" s="4" t="s">
        <v>26</v>
      </c>
      <c r="E39" s="4" t="s">
        <v>27</v>
      </c>
      <c r="F39" s="5" t="n">
        <v>2</v>
      </c>
      <c r="G39" s="4" t="s">
        <v>28</v>
      </c>
      <c r="H39" s="4" t="s">
        <v>29</v>
      </c>
      <c r="I39" s="4" t="s">
        <v>30</v>
      </c>
      <c r="J39" s="4"/>
      <c r="K39" s="4"/>
    </row>
    <row r="40" customFormat="false" ht="15" hidden="false" customHeight="false" outlineLevel="0" collapsed="false">
      <c r="A40" s="4" t="s">
        <v>92</v>
      </c>
      <c r="B40" s="4" t="s">
        <v>44</v>
      </c>
      <c r="C40" s="4" t="s">
        <v>98</v>
      </c>
      <c r="D40" s="4" t="s">
        <v>46</v>
      </c>
      <c r="E40" s="4" t="s">
        <v>27</v>
      </c>
      <c r="F40" s="5" t="n">
        <v>3.85</v>
      </c>
      <c r="G40" s="4" t="s">
        <v>28</v>
      </c>
      <c r="H40" s="4" t="s">
        <v>47</v>
      </c>
      <c r="I40" s="4" t="s">
        <v>48</v>
      </c>
      <c r="J40" s="4"/>
      <c r="K40" s="4"/>
    </row>
    <row r="41" customFormat="false" ht="23.85" hidden="false" customHeight="false" outlineLevel="0" collapsed="false">
      <c r="A41" s="2" t="s">
        <v>99</v>
      </c>
      <c r="B41" s="2" t="s">
        <v>57</v>
      </c>
      <c r="C41" s="2" t="s">
        <v>100</v>
      </c>
      <c r="D41" s="2" t="s">
        <v>59</v>
      </c>
      <c r="E41" s="2" t="s">
        <v>27</v>
      </c>
      <c r="F41" s="3" t="n">
        <v>0.5</v>
      </c>
      <c r="G41" s="2" t="s">
        <v>28</v>
      </c>
      <c r="H41" s="2" t="s">
        <v>60</v>
      </c>
      <c r="I41" s="2" t="s">
        <v>61</v>
      </c>
      <c r="J41" s="2" t="s">
        <v>71</v>
      </c>
      <c r="K41" s="2" t="s">
        <v>17</v>
      </c>
    </row>
    <row r="42" customFormat="false" ht="15" hidden="false" customHeight="false" outlineLevel="0" collapsed="false">
      <c r="A42" s="6" t="s">
        <v>99</v>
      </c>
      <c r="B42" s="6" t="s">
        <v>24</v>
      </c>
      <c r="C42" s="6" t="s">
        <v>101</v>
      </c>
      <c r="D42" s="6" t="s">
        <v>26</v>
      </c>
      <c r="E42" s="6" t="s">
        <v>27</v>
      </c>
      <c r="F42" s="7" t="n">
        <v>1</v>
      </c>
      <c r="G42" s="6" t="s">
        <v>28</v>
      </c>
      <c r="H42" s="6" t="s">
        <v>29</v>
      </c>
      <c r="I42" s="6" t="s">
        <v>30</v>
      </c>
      <c r="J42" s="6"/>
      <c r="K42" s="6"/>
    </row>
    <row r="43" customFormat="false" ht="23.85" hidden="false" customHeight="false" outlineLevel="0" collapsed="false">
      <c r="A43" s="6" t="s">
        <v>99</v>
      </c>
      <c r="B43" s="6" t="s">
        <v>12</v>
      </c>
      <c r="C43" s="6" t="s">
        <v>102</v>
      </c>
      <c r="D43" s="6" t="s">
        <v>14</v>
      </c>
      <c r="E43" s="6" t="s">
        <v>27</v>
      </c>
      <c r="F43" s="7" t="n">
        <v>1.55</v>
      </c>
      <c r="G43" s="6" t="s">
        <v>28</v>
      </c>
      <c r="H43" s="6" t="s">
        <v>15</v>
      </c>
      <c r="I43" s="6" t="s">
        <v>16</v>
      </c>
      <c r="J43" s="6"/>
      <c r="K43" s="6"/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8" t="s">
        <v>1</v>
      </c>
      <c r="B1" s="8" t="s">
        <v>103</v>
      </c>
      <c r="C1" s="8" t="s">
        <v>3</v>
      </c>
      <c r="D1" s="8" t="s">
        <v>104</v>
      </c>
      <c r="E1" s="8" t="s">
        <v>105</v>
      </c>
      <c r="F1" s="8" t="s">
        <v>106</v>
      </c>
      <c r="G1" s="8" t="s">
        <v>107</v>
      </c>
    </row>
    <row r="2" customFormat="false" ht="15" hidden="false" customHeight="false" outlineLevel="0" collapsed="false">
      <c r="A2" s="6" t="s">
        <v>24</v>
      </c>
      <c r="B2" s="6" t="s">
        <v>108</v>
      </c>
      <c r="C2" s="6" t="s">
        <v>26</v>
      </c>
      <c r="D2" s="6" t="s">
        <v>30</v>
      </c>
      <c r="E2" s="6" t="s">
        <v>109</v>
      </c>
      <c r="F2" s="6" t="s">
        <v>110</v>
      </c>
      <c r="G2" s="6" t="s">
        <v>111</v>
      </c>
    </row>
    <row r="3" customFormat="false" ht="15" hidden="false" customHeight="false" outlineLevel="0" collapsed="false">
      <c r="A3" s="6" t="s">
        <v>12</v>
      </c>
      <c r="B3" s="6" t="s">
        <v>112</v>
      </c>
      <c r="C3" s="6" t="s">
        <v>14</v>
      </c>
      <c r="D3" s="6" t="s">
        <v>16</v>
      </c>
      <c r="E3" s="6" t="s">
        <v>113</v>
      </c>
      <c r="F3" s="6" t="s">
        <v>114</v>
      </c>
      <c r="G3" s="6" t="s">
        <v>115</v>
      </c>
    </row>
    <row r="4" customFormat="false" ht="23.85" hidden="false" customHeight="false" outlineLevel="0" collapsed="false">
      <c r="A4" s="6" t="s">
        <v>57</v>
      </c>
      <c r="B4" s="6" t="s">
        <v>116</v>
      </c>
      <c r="C4" s="6" t="s">
        <v>59</v>
      </c>
      <c r="D4" s="6" t="s">
        <v>61</v>
      </c>
      <c r="E4" s="6" t="s">
        <v>117</v>
      </c>
      <c r="F4" s="6" t="s">
        <v>118</v>
      </c>
      <c r="G4" s="6" t="s">
        <v>119</v>
      </c>
    </row>
    <row r="5" customFormat="false" ht="15" hidden="false" customHeight="false" outlineLevel="0" collapsed="false">
      <c r="A5" s="6" t="s">
        <v>44</v>
      </c>
      <c r="B5" s="6" t="s">
        <v>120</v>
      </c>
      <c r="C5" s="6" t="s">
        <v>46</v>
      </c>
      <c r="D5" s="6" t="s">
        <v>48</v>
      </c>
      <c r="E5" s="6" t="s">
        <v>121</v>
      </c>
      <c r="F5" s="6" t="s">
        <v>122</v>
      </c>
      <c r="G5" s="6" t="s">
        <v>28</v>
      </c>
    </row>
    <row r="6" customFormat="false" ht="15" hidden="false" customHeight="false" outlineLevel="0" collapsed="false">
      <c r="A6" s="6" t="s">
        <v>18</v>
      </c>
      <c r="B6" s="6" t="s">
        <v>123</v>
      </c>
      <c r="C6" s="6" t="s">
        <v>20</v>
      </c>
      <c r="D6" s="6" t="s">
        <v>22</v>
      </c>
      <c r="E6" s="6" t="s">
        <v>124</v>
      </c>
      <c r="F6" s="6" t="s">
        <v>125</v>
      </c>
      <c r="G6" s="6" t="s">
        <v>28</v>
      </c>
    </row>
    <row r="7" customFormat="false" ht="23.85" hidden="false" customHeight="false" outlineLevel="0" collapsed="false">
      <c r="A7" s="6" t="s">
        <v>32</v>
      </c>
      <c r="B7" s="6" t="s">
        <v>126</v>
      </c>
      <c r="C7" s="6" t="s">
        <v>14</v>
      </c>
      <c r="D7" s="6" t="s">
        <v>34</v>
      </c>
      <c r="E7" s="6" t="s">
        <v>127</v>
      </c>
      <c r="F7" s="6" t="s">
        <v>128</v>
      </c>
      <c r="G7" s="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9" t="s">
        <v>0</v>
      </c>
      <c r="B1" s="9" t="s">
        <v>130</v>
      </c>
      <c r="C1" s="9" t="s">
        <v>1</v>
      </c>
      <c r="D1" s="9" t="s">
        <v>131</v>
      </c>
      <c r="E1" s="9" t="s">
        <v>132</v>
      </c>
      <c r="F1" s="9" t="s">
        <v>133</v>
      </c>
    </row>
    <row r="2" customFormat="false" ht="15" hidden="false" customHeight="false" outlineLevel="0" collapsed="false">
      <c r="A2" s="10" t="s">
        <v>134</v>
      </c>
      <c r="B2" s="11" t="s">
        <v>135</v>
      </c>
      <c r="C2" s="11" t="s">
        <v>136</v>
      </c>
      <c r="D2" s="11" t="n">
        <v>1</v>
      </c>
      <c r="E2" s="12" t="n">
        <v>5</v>
      </c>
      <c r="F2" s="12" t="n">
        <f aca="false">D2*E2</f>
        <v>5</v>
      </c>
    </row>
    <row r="3" customFormat="false" ht="15" hidden="false" customHeight="false" outlineLevel="0" collapsed="false">
      <c r="A3" s="10" t="s">
        <v>137</v>
      </c>
      <c r="B3" s="11" t="s">
        <v>138</v>
      </c>
      <c r="C3" s="11" t="s">
        <v>136</v>
      </c>
      <c r="D3" s="11" t="n">
        <v>1</v>
      </c>
      <c r="E3" s="12" t="n">
        <v>16.3</v>
      </c>
      <c r="F3" s="12" t="n">
        <f aca="false">D3*E3</f>
        <v>16.3</v>
      </c>
    </row>
    <row r="4" customFormat="false" ht="15" hidden="false" customHeight="false" outlineLevel="0" collapsed="false">
      <c r="A4" s="10" t="s">
        <v>139</v>
      </c>
      <c r="B4" s="11" t="s">
        <v>140</v>
      </c>
      <c r="C4" s="11" t="s">
        <v>136</v>
      </c>
      <c r="D4" s="11" t="n">
        <v>1</v>
      </c>
      <c r="E4" s="12" t="n">
        <v>25</v>
      </c>
      <c r="F4" s="12" t="n">
        <f aca="false">D4*E4</f>
        <v>25</v>
      </c>
    </row>
    <row r="5" customFormat="false" ht="15" hidden="false" customHeight="false" outlineLevel="0" collapsed="false">
      <c r="A5" s="10" t="s">
        <v>141</v>
      </c>
      <c r="B5" s="11" t="s">
        <v>142</v>
      </c>
      <c r="C5" s="11" t="s">
        <v>108</v>
      </c>
      <c r="D5" s="11" t="n">
        <v>2</v>
      </c>
      <c r="E5" s="12" t="n">
        <v>3</v>
      </c>
      <c r="F5" s="12" t="n">
        <f aca="false">D5*E5</f>
        <v>6</v>
      </c>
    </row>
    <row r="6" customFormat="false" ht="15" hidden="false" customHeight="false" outlineLevel="0" collapsed="false">
      <c r="A6" s="10" t="s">
        <v>143</v>
      </c>
      <c r="B6" s="11" t="s">
        <v>144</v>
      </c>
      <c r="C6" s="11" t="s">
        <v>108</v>
      </c>
      <c r="D6" s="11" t="n">
        <v>2</v>
      </c>
      <c r="E6" s="12" t="n">
        <v>2</v>
      </c>
      <c r="F6" s="12" t="n">
        <f aca="false">D6*E6</f>
        <v>4</v>
      </c>
    </row>
    <row r="7" customFormat="false" ht="15" hidden="false" customHeight="false" outlineLevel="0" collapsed="false">
      <c r="A7" s="10" t="s">
        <v>145</v>
      </c>
      <c r="B7" s="11" t="s">
        <v>146</v>
      </c>
      <c r="C7" s="11" t="s">
        <v>108</v>
      </c>
      <c r="D7" s="11" t="n">
        <v>2</v>
      </c>
      <c r="E7" s="12" t="n">
        <v>1.5</v>
      </c>
      <c r="F7" s="12" t="n">
        <f aca="false">D7*E7</f>
        <v>3</v>
      </c>
    </row>
    <row r="8" customFormat="false" ht="15" hidden="false" customHeight="false" outlineLevel="0" collapsed="false">
      <c r="A8" s="10" t="s">
        <v>147</v>
      </c>
      <c r="B8" s="11" t="s">
        <v>148</v>
      </c>
      <c r="C8" s="11" t="s">
        <v>108</v>
      </c>
      <c r="D8" s="11" t="n">
        <v>1</v>
      </c>
      <c r="E8" s="12" t="n">
        <v>10</v>
      </c>
      <c r="F8" s="12" t="n">
        <f aca="false">D8*E8</f>
        <v>10</v>
      </c>
    </row>
    <row r="9" customFormat="false" ht="15" hidden="false" customHeight="false" outlineLevel="0" collapsed="false">
      <c r="A9" s="10" t="s">
        <v>149</v>
      </c>
      <c r="B9" s="11" t="s">
        <v>150</v>
      </c>
      <c r="C9" s="11" t="s">
        <v>108</v>
      </c>
      <c r="D9" s="11" t="n">
        <v>1</v>
      </c>
      <c r="E9" s="12" t="n">
        <v>7</v>
      </c>
      <c r="F9" s="12" t="n">
        <f aca="false">D9*E9</f>
        <v>7</v>
      </c>
    </row>
    <row r="10" customFormat="false" ht="15" hidden="false" customHeight="false" outlineLevel="0" collapsed="false">
      <c r="A10" s="10" t="s">
        <v>151</v>
      </c>
      <c r="B10" s="11" t="s">
        <v>152</v>
      </c>
      <c r="C10" s="11" t="s">
        <v>153</v>
      </c>
      <c r="D10" s="11" t="n">
        <v>20</v>
      </c>
      <c r="E10" s="12" t="n">
        <v>0.75</v>
      </c>
      <c r="F10" s="12" t="n">
        <f aca="false">D10*E10</f>
        <v>15</v>
      </c>
    </row>
    <row r="11" customFormat="false" ht="15" hidden="false" customHeight="false" outlineLevel="0" collapsed="false">
      <c r="A11" s="10" t="s">
        <v>154</v>
      </c>
      <c r="B11" s="11" t="s">
        <v>100</v>
      </c>
      <c r="C11" s="11" t="s">
        <v>153</v>
      </c>
      <c r="D11" s="11" t="n">
        <v>4</v>
      </c>
      <c r="E11" s="12" t="n">
        <v>0.5</v>
      </c>
      <c r="F11" s="12" t="n">
        <f aca="false">D11*E11</f>
        <v>2</v>
      </c>
    </row>
    <row r="12" customFormat="false" ht="15" hidden="false" customHeight="false" outlineLevel="0" collapsed="false">
      <c r="A12" s="11"/>
      <c r="B12" s="11"/>
      <c r="C12" s="11"/>
      <c r="D12" s="11"/>
      <c r="E12" s="13" t="s">
        <v>155</v>
      </c>
      <c r="F12" s="13" t="n">
        <f aca="false">SUM(F2:F11)</f>
        <v>93.3</v>
      </c>
    </row>
    <row r="14" customFormat="false" ht="15" hidden="false" customHeight="false" outlineLevel="0" collapsed="false">
      <c r="A14" s="1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2026-10-15T08:35:28Z</dcterms:created>
  <dc:creator>openpyxl</dc:creator>
  <dc:description/>
  <dc:language>en-US</dc:language>
  <cp:lastModifiedBy/>
  <dcterms:modified xsi:type="dcterms:W3CDTF">2026-10-15T08:35:28Z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