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التكلفة التشغيلي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<sst xmlns="http://schemas.openxmlformats.org/spreadsheetml/2006/main" count="40" uniqueCount="39">
  <si>
    <t xml:space="preserve">Big Bubbles — نموذج التكلفة التشغيلية الشهرية</t>
  </si>
  <si>
    <t xml:space="preserve">الخانات الصفرا = افتراضات، غيّرها والباقي يتحسب تلقائي</t>
  </si>
  <si>
    <t xml:space="preserve">1) الافتراضات</t>
  </si>
  <si>
    <t xml:space="preserve">عدد سيارات الشغل</t>
  </si>
  <si>
    <t xml:space="preserve">سيارات تنغسل باليوم لكل سيارة شغل</t>
  </si>
  <si>
    <t xml:space="preserve">غيّرها حسب الواقع</t>
  </si>
  <si>
    <t xml:space="preserve">أيام الشغل بالشهر</t>
  </si>
  <si>
    <t xml:space="preserve">يوم راحة بالأسبوع</t>
  </si>
  <si>
    <t xml:space="preserve">بنزين السيارة باليوم (د.ك)</t>
  </si>
  <si>
    <t xml:space="preserve">لكل سيارة شغل</t>
  </si>
  <si>
    <t xml:space="preserve">ماكينة الكهرباء باليوم (د.ك)</t>
  </si>
  <si>
    <t xml:space="preserve">عدد العمال</t>
  </si>
  <si>
    <t xml:space="preserve">راتب العامل (د.ك)</t>
  </si>
  <si>
    <t xml:space="preserve">2) توزيع الباقات (نسبة من السيارات)</t>
  </si>
  <si>
    <t xml:space="preserve">الباقة</t>
  </si>
  <si>
    <t xml:space="preserve">النسبة</t>
  </si>
  <si>
    <t xml:space="preserve">مواد للسيارة</t>
  </si>
  <si>
    <t xml:space="preserve">متوسط السعر (صالون/جيب)</t>
  </si>
  <si>
    <t xml:space="preserve">غسلة ببلز</t>
  </si>
  <si>
    <t xml:space="preserve">دبل ببلز</t>
  </si>
  <si>
    <r>
      <rPr>
        <sz val="11"/>
        <color theme="1"/>
        <rFont val="FreeSans"/>
        <family val="2"/>
      </rPr>
      <t xml:space="preserve">سوبر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سوبر توب</t>
    </r>
  </si>
  <si>
    <t xml:space="preserve">سبشل ببلز</t>
  </si>
  <si>
    <t xml:space="preserve">المجموع</t>
  </si>
  <si>
    <t xml:space="preserve">3) الحسبة الشهرية</t>
  </si>
  <si>
    <t xml:space="preserve">عدد السيارات بالشهر</t>
  </si>
  <si>
    <t xml:space="preserve">تكلفة المواد للسيارة (متوسط)</t>
  </si>
  <si>
    <t xml:space="preserve">💧 تكلفة المواد الشهرية</t>
  </si>
  <si>
    <t xml:space="preserve">⛽ البنزين الشهري</t>
  </si>
  <si>
    <t xml:space="preserve">🔌 ماكينة الكهرباء الشهرية</t>
  </si>
  <si>
    <t xml:space="preserve">👷 الرواتب الشهرية</t>
  </si>
  <si>
    <t xml:space="preserve">✅ التكلفة التشغيلية الشهرية</t>
  </si>
  <si>
    <t xml:space="preserve">4) الدخل والربح (تقديري)</t>
  </si>
  <si>
    <t xml:space="preserve">متوسط سعر الغسلة</t>
  </si>
  <si>
    <t xml:space="preserve">الدخل الشهري</t>
  </si>
  <si>
    <t xml:space="preserve">الربح قبل المصاريف غير المحسوبة</t>
  </si>
  <si>
    <t xml:space="preserve">نقطة التعادل (سيارات بالشهر)</t>
  </si>
  <si>
    <t xml:space="preserve">كم سيارة تغطي المصاريف الثابتة</t>
  </si>
  <si>
    <t xml:space="preserve">نقطة التعادل (سيارات باليوم — المجموع)</t>
  </si>
  <si>
    <t xml:space="preserve">مو محسوب: صيانة السيارات، التأمين والتسجيل، سكن ومعيشة وإقامات العمال، الإعلانات، الجوالات، استهلاك المعدات.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</si>
</sst>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2A8A"/>
      <name val="Arial"/>
      <family val="0"/>
      <charset val="1"/>
    </font>
    <font>
      <sz val="10"/>
      <color rgb="FFB378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D2A8A"/>
      <name val="Arial"/>
      <family val="0"/>
      <charset val="1"/>
    </font>
    <font>
      <sz val="9"/>
      <color rgb="FF5B6FA8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FreeSans"/>
      <family val="2"/>
    </font>
    <font>
      <b val="true"/>
      <sz val="12"/>
      <name val="Arial"/>
      <family val="0"/>
      <charset val="1"/>
    </font>
    <font>
      <sz val="10"/>
      <color rgb="FFC2410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3AAA"/>
        <bgColor rgb="FF0D2A8A"/>
      </patternFill>
    </fill>
    <fill>
      <patternFill patternType="solid">
        <fgColor rgb="FFFFF3B0"/>
        <bgColor rgb="FFFFFFCC"/>
      </patternFill>
    </fill>
    <fill>
      <patternFill patternType="solid">
        <fgColor rgb="FFDDE7FF"/>
        <bgColor rgb="FFC9D3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A"/>
      </left>
      <right style="thin">
        <color rgb="FFC9D3EA"/>
      </right>
      <top style="thin">
        <color rgb="FFC9D3EA"/>
      </top>
      <bottom style="thin">
        <color rgb="FFC9D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37800"/>
      <rgbColor rgb="FF800080"/>
      <rgbColor rgb="FF008080"/>
      <rgbColor rgb="FFC0C0C0"/>
      <rgbColor rgb="FF808080"/>
      <rgbColor rgb="FF9999FF"/>
      <rgbColor rgb="FF993366"/>
      <rgbColor rgb="FFFFFFCC"/>
      <rgbColor rgb="FFDDE7FF"/>
      <rgbColor rgb="FF660066"/>
      <rgbColor rgb="FFFF8080"/>
      <rgbColor rgb="FF0066CC"/>
      <rgbColor rgb="FFC9D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FA8"/>
      <rgbColor rgb="FF969696"/>
      <rgbColor rgb="FF0D2A8A"/>
      <rgbColor rgb="FF339966"/>
      <rgbColor rgb="FF003300"/>
      <rgbColor rgb="FF333300"/>
      <rgbColor rgb="FFC2410C"/>
      <rgbColor rgb="FF993366"/>
      <rgbColor rgb="FF163AA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2</v>
      </c>
      <c r="C5" s="7"/>
    </row>
    <row r="6" customFormat="false" ht="15" hidden="false" customHeight="false" outlineLevel="0" collapsed="false">
      <c r="A6" s="5" t="s">
        <v>4</v>
      </c>
      <c r="B6" s="6" t="n">
        <v>8</v>
      </c>
      <c r="C6" s="7" t="s">
        <v>5</v>
      </c>
    </row>
    <row r="7" customFormat="false" ht="15" hidden="false" customHeight="false" outlineLevel="0" collapsed="false">
      <c r="A7" s="5" t="s">
        <v>6</v>
      </c>
      <c r="B7" s="6" t="n">
        <v>26</v>
      </c>
      <c r="C7" s="7" t="s">
        <v>7</v>
      </c>
    </row>
    <row r="8" customFormat="false" ht="15" hidden="false" customHeight="false" outlineLevel="0" collapsed="false">
      <c r="A8" s="5" t="s">
        <v>8</v>
      </c>
      <c r="B8" s="8" t="n">
        <v>4</v>
      </c>
      <c r="C8" s="7" t="s">
        <v>9</v>
      </c>
    </row>
    <row r="9" customFormat="false" ht="15" hidden="false" customHeight="false" outlineLevel="0" collapsed="false">
      <c r="A9" s="5" t="s">
        <v>10</v>
      </c>
      <c r="B9" s="8" t="n">
        <v>2</v>
      </c>
      <c r="C9" s="7" t="s">
        <v>9</v>
      </c>
    </row>
    <row r="10" customFormat="false" ht="15" hidden="false" customHeight="false" outlineLevel="0" collapsed="false">
      <c r="A10" s="5" t="s">
        <v>11</v>
      </c>
      <c r="B10" s="6" t="n">
        <v>4</v>
      </c>
      <c r="C10" s="7"/>
    </row>
    <row r="11" customFormat="false" ht="15" hidden="false" customHeight="false" outlineLevel="0" collapsed="false">
      <c r="A11" s="5" t="s">
        <v>12</v>
      </c>
      <c r="B11" s="8" t="n">
        <v>160</v>
      </c>
      <c r="C11" s="7"/>
    </row>
    <row r="13" customFormat="false" ht="15" hidden="false" customHeight="false" outlineLevel="0" collapsed="false">
      <c r="A13" s="3" t="s">
        <v>13</v>
      </c>
      <c r="B13" s="4"/>
      <c r="C13" s="4"/>
    </row>
    <row r="14" customFormat="false" ht="15" hidden="false" customHeight="false" outlineLevel="0" collapsed="false">
      <c r="A14" s="9" t="s">
        <v>14</v>
      </c>
      <c r="B14" s="9" t="s">
        <v>15</v>
      </c>
      <c r="C14" s="9"/>
      <c r="D14" s="9" t="s">
        <v>16</v>
      </c>
      <c r="E14" s="9" t="s">
        <v>17</v>
      </c>
    </row>
    <row r="15" customFormat="false" ht="15" hidden="false" customHeight="false" outlineLevel="0" collapsed="false">
      <c r="A15" s="10" t="s">
        <v>18</v>
      </c>
      <c r="B15" s="11" t="n">
        <v>0.5</v>
      </c>
      <c r="D15" s="12" t="n">
        <v>0.22</v>
      </c>
      <c r="E15" s="12" t="n">
        <v>4.5</v>
      </c>
    </row>
    <row r="16" customFormat="false" ht="15" hidden="false" customHeight="false" outlineLevel="0" collapsed="false">
      <c r="A16" s="10" t="s">
        <v>19</v>
      </c>
      <c r="B16" s="11" t="n">
        <v>0.3</v>
      </c>
      <c r="D16" s="12" t="n">
        <v>0.65</v>
      </c>
      <c r="E16" s="12" t="n">
        <v>6</v>
      </c>
    </row>
    <row r="17" customFormat="false" ht="15" hidden="false" customHeight="false" outlineLevel="0" collapsed="false">
      <c r="A17" s="10" t="s">
        <v>20</v>
      </c>
      <c r="B17" s="11" t="n">
        <v>0.15</v>
      </c>
      <c r="D17" s="12" t="n">
        <v>0.7</v>
      </c>
      <c r="E17" s="12" t="n">
        <v>20</v>
      </c>
    </row>
    <row r="18" customFormat="false" ht="15" hidden="false" customHeight="false" outlineLevel="0" collapsed="false">
      <c r="A18" s="10" t="s">
        <v>21</v>
      </c>
      <c r="B18" s="11" t="n">
        <v>0.05</v>
      </c>
      <c r="D18" s="12" t="n">
        <v>2.9</v>
      </c>
      <c r="E18" s="12" t="n">
        <v>37.5</v>
      </c>
    </row>
    <row r="19" customFormat="false" ht="15" hidden="false" customHeight="false" outlineLevel="0" collapsed="false">
      <c r="A19" s="9" t="s">
        <v>22</v>
      </c>
      <c r="B19" s="13" t="n">
        <f aca="false">SUM(B15:B18)</f>
        <v>1</v>
      </c>
    </row>
    <row r="21" customFormat="false" ht="15" hidden="false" customHeight="false" outlineLevel="0" collapsed="false">
      <c r="A21" s="3" t="s">
        <v>23</v>
      </c>
      <c r="B21" s="4"/>
      <c r="C21" s="4"/>
    </row>
    <row r="22" customFormat="false" ht="15" hidden="false" customHeight="false" outlineLevel="0" collapsed="false">
      <c r="A22" s="5" t="s">
        <v>24</v>
      </c>
      <c r="B22" s="14" t="n">
        <f aca="false">B5*B6*B7</f>
        <v>416</v>
      </c>
      <c r="C22" s="7"/>
    </row>
    <row r="23" customFormat="false" ht="15" hidden="false" customHeight="false" outlineLevel="0" collapsed="false">
      <c r="A23" s="5" t="s">
        <v>25</v>
      </c>
      <c r="B23" s="15" t="n">
        <f aca="false">SUMPRODUCT(B15:B18,D15:D18)</f>
        <v>0.555</v>
      </c>
      <c r="C23" s="7"/>
    </row>
    <row r="24" customFormat="false" ht="15" hidden="false" customHeight="false" outlineLevel="0" collapsed="false">
      <c r="A24" s="5" t="s">
        <v>26</v>
      </c>
      <c r="B24" s="15" t="n">
        <f aca="false">B22*B23</f>
        <v>230.88</v>
      </c>
      <c r="C24" s="7"/>
    </row>
    <row r="25" customFormat="false" ht="15" hidden="false" customHeight="false" outlineLevel="0" collapsed="false">
      <c r="A25" s="5" t="s">
        <v>27</v>
      </c>
      <c r="B25" s="15" t="n">
        <f aca="false">B5*B8*B7</f>
        <v>208</v>
      </c>
      <c r="C25" s="7"/>
    </row>
    <row r="26" customFormat="false" ht="15" hidden="false" customHeight="false" outlineLevel="0" collapsed="false">
      <c r="A26" s="5" t="s">
        <v>28</v>
      </c>
      <c r="B26" s="15" t="n">
        <f aca="false">B5*B9*B7</f>
        <v>104</v>
      </c>
      <c r="C26" s="7"/>
    </row>
    <row r="27" customFormat="false" ht="15" hidden="false" customHeight="false" outlineLevel="0" collapsed="false">
      <c r="A27" s="5" t="s">
        <v>29</v>
      </c>
      <c r="B27" s="15" t="n">
        <f aca="false">B10*B11</f>
        <v>640</v>
      </c>
      <c r="C27" s="7"/>
    </row>
    <row r="28" customFormat="false" ht="15" hidden="false" customHeight="false" outlineLevel="0" collapsed="false">
      <c r="A28" s="16" t="s">
        <v>30</v>
      </c>
      <c r="B28" s="17" t="n">
        <f aca="false">B24+B25+B26+B27</f>
        <v>1182.88</v>
      </c>
      <c r="C28" s="16"/>
    </row>
    <row r="30" customFormat="false" ht="15" hidden="false" customHeight="false" outlineLevel="0" collapsed="false">
      <c r="A30" s="3" t="s">
        <v>31</v>
      </c>
      <c r="B30" s="4"/>
      <c r="C30" s="4"/>
    </row>
    <row r="31" customFormat="false" ht="15" hidden="false" customHeight="false" outlineLevel="0" collapsed="false">
      <c r="A31" s="5" t="s">
        <v>32</v>
      </c>
      <c r="B31" s="15" t="n">
        <f aca="false">SUMPRODUCT(B15:B18,E15:E18)</f>
        <v>8.925</v>
      </c>
      <c r="C31" s="7"/>
    </row>
    <row r="32" customFormat="false" ht="15" hidden="false" customHeight="false" outlineLevel="0" collapsed="false">
      <c r="A32" s="5" t="s">
        <v>33</v>
      </c>
      <c r="B32" s="15" t="n">
        <f aca="false">B22*B31</f>
        <v>3712.8</v>
      </c>
      <c r="C32" s="7"/>
    </row>
    <row r="33" customFormat="false" ht="15" hidden="false" customHeight="false" outlineLevel="0" collapsed="false">
      <c r="A33" s="16" t="s">
        <v>34</v>
      </c>
      <c r="B33" s="17" t="n">
        <f aca="false">B32-B28</f>
        <v>2529.92</v>
      </c>
      <c r="C33" s="16"/>
    </row>
    <row r="34" customFormat="false" ht="15" hidden="false" customHeight="false" outlineLevel="0" collapsed="false">
      <c r="A34" s="5" t="s">
        <v>35</v>
      </c>
      <c r="B34" s="8" t="n">
        <f aca="false">(B25+B26+B27)/(B31-B23)</f>
        <v>113.739545997611</v>
      </c>
      <c r="C34" s="7" t="s">
        <v>36</v>
      </c>
    </row>
    <row r="35" customFormat="false" ht="15" hidden="false" customHeight="false" outlineLevel="0" collapsed="false">
      <c r="A35" s="5" t="s">
        <v>37</v>
      </c>
      <c r="B35" s="8" t="n">
        <f aca="false">B34/B7</f>
        <v>4.37459792298502</v>
      </c>
      <c r="C35" s="7"/>
    </row>
    <row r="37" customFormat="false" ht="15" hidden="false" customHeight="false" outlineLevel="0" collapsed="false">
      <c r="A37" s="18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2026-10-15T09:11:04Z</dcterms:created>
  <dc:creator>openpyxl</dc:creator>
  <dc:description/>
  <dc:language>en-US</dc:language>
  <cp:lastModifiedBy/>
  <dcterms:modified xsi:type="dcterms:W3CDTF">2026-10-15T09:11:04Z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