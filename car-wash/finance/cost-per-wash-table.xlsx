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الحسبة للباقات" sheetId="1" state="visible" r:id="rId1"/>
    <sheet xmlns:r="http://schemas.openxmlformats.org/officeDocument/2006/relationships" name="السيارة الواحدة" sheetId="2" state="visible" r:id="rId2"/>
    <sheet xmlns:r="http://schemas.openxmlformats.org/officeDocument/2006/relationships" name="المدخلات" sheetId="3" state="visible" r:id="rId3"/>
    <sheet xmlns:r="http://schemas.openxmlformats.org/officeDocument/2006/relationships" name="مواد الغسلة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FreeSans"/>
      <family val="2"/>
      <b val="1"/>
      <color rgb="FFFFFFFF"/>
      <sz val="11"/>
    </font>
    <font>
      <name val="FreeSans"/>
      <family val="2"/>
      <color theme="1"/>
      <sz val="11"/>
    </font>
    <font>
      <name val="FreeSans"/>
      <family val="2"/>
      <b val="1"/>
      <sz val="11"/>
    </font>
    <font>
      <name val="Cambria"/>
      <charset val="1"/>
      <family val="0"/>
      <b val="1"/>
      <sz val="11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FF1E5BD8"/>
        <bgColor rgb="FF3366FF"/>
      </patternFill>
    </fill>
    <fill>
      <patternFill patternType="solid">
        <fgColor rgb="FFFFF4CC"/>
        <bgColor rgb="FFFFFFFF"/>
      </patternFill>
    </fill>
    <fill>
      <patternFill patternType="solid">
        <fgColor rgb="001E5BD8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4" fontId="0" fillId="3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4" fontId="0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4" fontId="0" fillId="0" borderId="0" applyAlignment="1" pivotButton="0" quotePrefix="0" xfId="0">
      <alignment horizontal="center" vertical="center" wrapText="1"/>
    </xf>
    <xf numFmtId="4" fontId="8" fillId="4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4" fontId="9" fillId="5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CC"/>
      <rgbColor rgb="FFCCFFFF"/>
      <rgbColor rgb="FF660066"/>
      <rgbColor rgb="FFFF8080"/>
      <rgbColor rgb="FF1E5BD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9" min="1" max="1"/>
    <col width="15" customWidth="1" style="9" min="2" max="9"/>
  </cols>
  <sheetData>
    <row r="1" ht="23.85" customHeight="1" s="10">
      <c r="A1" s="11" t="inlineStr">
        <is>
          <t>الباقة</t>
        </is>
      </c>
      <c r="B1" s="11" t="inlineStr">
        <is>
          <t>المواد للغسلة</t>
        </is>
      </c>
      <c r="C1" s="11" t="inlineStr">
        <is>
          <t>العمال للغسلة</t>
        </is>
      </c>
      <c r="D1" s="11" t="inlineStr">
        <is>
          <t>بنزين وكهرباء للغسلة</t>
        </is>
      </c>
      <c r="E1" s="11" t="inlineStr">
        <is>
          <t>التكلفة الكاملة</t>
        </is>
      </c>
      <c r="F1" s="11" t="inlineStr">
        <is>
          <t>سعر صالون</t>
        </is>
      </c>
      <c r="G1" s="11" t="inlineStr">
        <is>
          <t>ربح صالون</t>
        </is>
      </c>
      <c r="H1" s="11" t="inlineStr">
        <is>
          <t>سعر جيب</t>
        </is>
      </c>
      <c r="I1" s="11" t="inlineStr">
        <is>
          <t>ربح جيب</t>
        </is>
      </c>
    </row>
    <row r="2" ht="15" customHeight="1" s="10">
      <c r="A2" s="12" t="inlineStr">
        <is>
          <t>ببلز</t>
        </is>
      </c>
      <c r="B2" s="13">
        <f>'مواد الغسلة'!B11</f>
        <v/>
      </c>
      <c r="C2" s="13">
        <f>المدخلات!B2*المدخلات!B3/(المدخلات!B5*المدخلات!B6*المدخلات!B7)</f>
        <v/>
      </c>
      <c r="D2" s="13">
        <f>المدخلات!B4*المدخلات!B5*52/12/(المدخلات!B5*المدخلات!B6*المدخلات!B7)</f>
        <v/>
      </c>
      <c r="E2" s="13">
        <f>B2+C2+D2</f>
        <v/>
      </c>
      <c r="F2" s="12" t="n">
        <v>5</v>
      </c>
      <c r="G2" s="13">
        <f>F2-E2</f>
        <v/>
      </c>
      <c r="H2" s="12" t="n">
        <v>6</v>
      </c>
      <c r="I2" s="13">
        <f>H2-E2</f>
        <v/>
      </c>
    </row>
    <row r="3" ht="15" customHeight="1" s="10">
      <c r="A3" s="12" t="inlineStr">
        <is>
          <t>دبل ببلز</t>
        </is>
      </c>
      <c r="B3" s="13">
        <f>'مواد الغسلة'!C11</f>
        <v/>
      </c>
      <c r="C3" s="13">
        <f>المدخلات!B2*المدخلات!B3/(المدخلات!B5*المدخلات!B6*المدخلات!B7)</f>
        <v/>
      </c>
      <c r="D3" s="13">
        <f>المدخلات!B4*المدخلات!B5*52/12/(المدخلات!B5*المدخلات!B6*المدخلات!B7)</f>
        <v/>
      </c>
      <c r="E3" s="13">
        <f>B3+C3+D3</f>
        <v/>
      </c>
      <c r="F3" s="12" t="n">
        <v>7</v>
      </c>
      <c r="G3" s="13">
        <f>F3-E3</f>
        <v/>
      </c>
      <c r="H3" s="12" t="n">
        <v>9</v>
      </c>
      <c r="I3" s="13">
        <f>H3-E3</f>
        <v/>
      </c>
    </row>
    <row r="4" ht="15" customHeight="1" s="10">
      <c r="A4" s="12" t="inlineStr">
        <is>
          <t>سوبر ببلز</t>
        </is>
      </c>
      <c r="B4" s="13">
        <f>'مواد الغسلة'!D11</f>
        <v/>
      </c>
      <c r="C4" s="13">
        <f>المدخلات!B2*المدخلات!B3/(المدخلات!B5*المدخلات!B6*المدخلات!B7)</f>
        <v/>
      </c>
      <c r="D4" s="13">
        <f>المدخلات!B4*المدخلات!B5*52/12/(المدخلات!B5*المدخلات!B6*المدخلات!B7)</f>
        <v/>
      </c>
      <c r="E4" s="13">
        <f>B4+C4+D4</f>
        <v/>
      </c>
      <c r="F4" s="12" t="n">
        <v>15</v>
      </c>
      <c r="G4" s="13">
        <f>F4-E4</f>
        <v/>
      </c>
      <c r="H4" s="12" t="n">
        <v>20</v>
      </c>
      <c r="I4" s="13">
        <f>H4-E4</f>
        <v/>
      </c>
    </row>
    <row r="5" ht="15" customHeight="1" s="10">
      <c r="A5" s="12" t="inlineStr">
        <is>
          <t>سوبر توب ببلز</t>
        </is>
      </c>
      <c r="B5" s="13">
        <f>'مواد الغسلة'!E11</f>
        <v/>
      </c>
      <c r="C5" s="13">
        <f>المدخلات!B2*المدخلات!B3/(المدخلات!B5*المدخلات!B6*المدخلات!B7)</f>
        <v/>
      </c>
      <c r="D5" s="13">
        <f>المدخلات!B4*المدخلات!B5*52/12/(المدخلات!B5*المدخلات!B6*المدخلات!B7)</f>
        <v/>
      </c>
      <c r="E5" s="13">
        <f>B5+C5+D5</f>
        <v/>
      </c>
      <c r="F5" s="12" t="n">
        <v>20</v>
      </c>
      <c r="G5" s="13">
        <f>F5-E5</f>
        <v/>
      </c>
      <c r="H5" s="12" t="n">
        <v>25</v>
      </c>
      <c r="I5" s="13">
        <f>H5-E5</f>
        <v/>
      </c>
    </row>
    <row r="6" ht="15" customHeight="1" s="10">
      <c r="A6" s="12" t="inlineStr">
        <is>
          <t>سبشل ببلز</t>
        </is>
      </c>
      <c r="B6" s="13">
        <f>'مواد الغسلة'!F11</f>
        <v/>
      </c>
      <c r="C6" s="13">
        <f>المدخلات!B2*المدخلات!B3/(المدخلات!B5*المدخلات!B6*المدخلات!B7)</f>
        <v/>
      </c>
      <c r="D6" s="13">
        <f>المدخلات!B4*المدخلات!B5*52/12/(المدخلات!B5*المدخلات!B6*المدخلات!B7)</f>
        <v/>
      </c>
      <c r="E6" s="13">
        <f>B6+C6+D6</f>
        <v/>
      </c>
      <c r="F6" s="12" t="n">
        <v>35</v>
      </c>
      <c r="G6" s="13">
        <f>F6-E6</f>
        <v/>
      </c>
      <c r="H6" s="12" t="n">
        <v>40</v>
      </c>
      <c r="I6" s="13">
        <f>H6-E6</f>
        <v/>
      </c>
    </row>
    <row r="8" ht="15" customHeight="1" s="10">
      <c r="A8" s="14" t="inlineStr">
        <is>
          <t>الشهر (312 غسلة، توزيع 50/30/15/5)</t>
        </is>
      </c>
    </row>
    <row r="9" ht="15" customHeight="1" s="10">
      <c r="A9" s="14" t="inlineStr">
        <is>
          <t>الإيراد الشهري</t>
        </is>
      </c>
      <c r="B9" s="15">
        <f>312*(0.5*AVERAGE(F2,H2)+0.3*AVERAGE(F3,H3)+0.15*AVERAGE(F4,H4,F5,H5)+0.05*AVERAGE(F6,H6))</f>
        <v/>
      </c>
    </row>
    <row r="10" ht="15" customHeight="1" s="10">
      <c r="A10" s="14" t="inlineStr">
        <is>
          <t>المواد الشهرية</t>
        </is>
      </c>
      <c r="B10" s="15">
        <f>312*(0.5*B2+0.3*B3+0.15*AVERAGE(B4,B5)+0.05*B6)</f>
        <v/>
      </c>
    </row>
    <row r="11" ht="15" customHeight="1" s="10">
      <c r="A11" s="14" t="inlineStr">
        <is>
          <t>العمال الشهرية</t>
        </is>
      </c>
      <c r="B11" s="15">
        <f>المدخلات!B2*المدخلات!B3</f>
        <v/>
      </c>
    </row>
    <row r="12" ht="15" customHeight="1" s="10">
      <c r="A12" s="14" t="inlineStr">
        <is>
          <t>البنزين والكهرباء الشهرية</t>
        </is>
      </c>
      <c r="B12" s="15">
        <f>المدخلات!B4*المدخلات!B5*52/12</f>
        <v/>
      </c>
    </row>
    <row r="13" ht="15" customHeight="1" s="10">
      <c r="A13" s="14" t="inlineStr">
        <is>
          <t>الإعلانات</t>
        </is>
      </c>
      <c r="B13" s="15">
        <f>المدخلات!B18</f>
        <v/>
      </c>
    </row>
    <row r="14" ht="15" customHeight="1" s="10">
      <c r="A14" s="14" t="inlineStr">
        <is>
          <t>إجمالي التكلفة الشهرية</t>
        </is>
      </c>
      <c r="B14" s="15">
        <f>B10+B11+B12+B13</f>
        <v/>
      </c>
    </row>
    <row r="15" ht="15" customHeight="1" s="10">
      <c r="A15" s="14" t="inlineStr">
        <is>
          <t>الربح الشهري</t>
        </is>
      </c>
      <c r="B15" s="16">
        <f>B9-B14</f>
        <v/>
      </c>
    </row>
    <row r="16" ht="15" customHeight="1" s="10">
      <c r="A16" s="14" t="inlineStr">
        <is>
          <t>نقطة التعادل (غسلات بالشهر)</t>
        </is>
      </c>
      <c r="B16" s="16">
        <f>ROUNDUP((B11+B12+B13)/((B9-B10)/312),0)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4" customWidth="1" style="10" min="1" max="1"/>
    <col width="16" customWidth="1" style="10" min="2" max="2"/>
    <col width="16" customWidth="1" style="10" min="3" max="3"/>
    <col width="16" customWidth="1" style="10" min="4" max="4"/>
    <col width="16" customWidth="1" style="10" min="5" max="5"/>
    <col width="16" customWidth="1" style="10" min="6" max="6"/>
    <col width="16" customWidth="1" style="10" min="7" max="7"/>
    <col width="16" customWidth="1" style="10" min="8" max="8"/>
  </cols>
  <sheetData>
    <row r="1">
      <c r="A1" s="17" t="inlineStr">
        <is>
          <t>الشهر لسيارة واحدة (156 غسلة)</t>
        </is>
      </c>
      <c r="B1" s="17" t="inlineStr">
        <is>
          <t>عدد الغسلات</t>
        </is>
      </c>
      <c r="C1" s="17" t="inlineStr">
        <is>
          <t>تكلفة المواد للغسلة</t>
        </is>
      </c>
      <c r="D1" s="17" t="inlineStr">
        <is>
          <t>مواد الشهر</t>
        </is>
      </c>
      <c r="E1" s="17" t="inlineStr">
        <is>
          <t>سعر صالون</t>
        </is>
      </c>
      <c r="F1" s="17" t="inlineStr">
        <is>
          <t>إيراد صالون</t>
        </is>
      </c>
      <c r="G1" s="17" t="inlineStr">
        <is>
          <t>سعر جيب</t>
        </is>
      </c>
      <c r="H1" s="17" t="inlineStr">
        <is>
          <t>إيراد جيب</t>
        </is>
      </c>
    </row>
    <row r="2">
      <c r="A2" s="18" t="inlineStr">
        <is>
          <t>ببلز</t>
        </is>
      </c>
      <c r="B2" s="19" t="n">
        <v>78</v>
      </c>
      <c r="C2" s="19">
        <f>'مواد الغسلة'!B11</f>
        <v/>
      </c>
      <c r="D2" s="19">
        <f>B2*C2</f>
        <v/>
      </c>
      <c r="E2" s="19" t="n">
        <v>5</v>
      </c>
      <c r="F2" s="19">
        <f>B2*E2</f>
        <v/>
      </c>
      <c r="G2" s="19" t="n">
        <v>6</v>
      </c>
      <c r="H2" s="19">
        <f>B2*G2</f>
        <v/>
      </c>
    </row>
    <row r="3">
      <c r="A3" s="18" t="inlineStr">
        <is>
          <t>دبل ببلز</t>
        </is>
      </c>
      <c r="B3" s="19" t="n">
        <v>47</v>
      </c>
      <c r="C3" s="19">
        <f>'مواد الغسلة'!C11</f>
        <v/>
      </c>
      <c r="D3" s="19">
        <f>B3*C3</f>
        <v/>
      </c>
      <c r="E3" s="19" t="n">
        <v>7</v>
      </c>
      <c r="F3" s="19">
        <f>B3*E3</f>
        <v/>
      </c>
      <c r="G3" s="19" t="n">
        <v>9</v>
      </c>
      <c r="H3" s="19">
        <f>B3*G3</f>
        <v/>
      </c>
    </row>
    <row r="4">
      <c r="A4" s="18" t="inlineStr">
        <is>
          <t>سوبر ببلز</t>
        </is>
      </c>
      <c r="B4" s="19" t="n">
        <v>12</v>
      </c>
      <c r="C4" s="19">
        <f>'مواد الغسلة'!D11</f>
        <v/>
      </c>
      <c r="D4" s="19">
        <f>B4*C4</f>
        <v/>
      </c>
      <c r="E4" s="19" t="n">
        <v>15</v>
      </c>
      <c r="F4" s="19">
        <f>B4*E4</f>
        <v/>
      </c>
      <c r="G4" s="19" t="n">
        <v>20</v>
      </c>
      <c r="H4" s="19">
        <f>B4*G4</f>
        <v/>
      </c>
    </row>
    <row r="5">
      <c r="A5" s="18" t="inlineStr">
        <is>
          <t>سوبر توب</t>
        </is>
      </c>
      <c r="B5" s="19" t="n">
        <v>11</v>
      </c>
      <c r="C5" s="19">
        <f>'مواد الغسلة'!E11</f>
        <v/>
      </c>
      <c r="D5" s="19">
        <f>B5*C5</f>
        <v/>
      </c>
      <c r="E5" s="19" t="n">
        <v>20</v>
      </c>
      <c r="F5" s="19">
        <f>B5*E5</f>
        <v/>
      </c>
      <c r="G5" s="19" t="n">
        <v>25</v>
      </c>
      <c r="H5" s="19">
        <f>B5*G5</f>
        <v/>
      </c>
    </row>
    <row r="6">
      <c r="A6" s="18" t="inlineStr">
        <is>
          <t>سبشل</t>
        </is>
      </c>
      <c r="B6" s="19" t="n">
        <v>8</v>
      </c>
      <c r="C6" s="19">
        <f>'مواد الغسلة'!F11</f>
        <v/>
      </c>
      <c r="D6" s="19">
        <f>B6*C6</f>
        <v/>
      </c>
      <c r="E6" s="19" t="n">
        <v>35</v>
      </c>
      <c r="F6" s="19">
        <f>B6*E6</f>
        <v/>
      </c>
      <c r="G6" s="19" t="n">
        <v>40</v>
      </c>
      <c r="H6" s="19">
        <f>B6*G6</f>
        <v/>
      </c>
    </row>
    <row r="7">
      <c r="A7" s="18" t="inlineStr">
        <is>
          <t>المجموع</t>
        </is>
      </c>
      <c r="B7" s="19">
        <f>SUM(B2:B6)</f>
        <v/>
      </c>
      <c r="C7" s="18" t="inlineStr"/>
      <c r="D7" s="19">
        <f>SUM(D2:D6)</f>
        <v/>
      </c>
      <c r="E7" s="18" t="inlineStr"/>
      <c r="F7" s="19">
        <f>SUM(F2:F6)</f>
        <v/>
      </c>
      <c r="G7" s="18" t="inlineStr"/>
      <c r="H7" s="19">
        <f>SUM(H2:H6)</f>
        <v/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</row>
    <row r="9">
      <c r="A9" s="17" t="inlineStr">
        <is>
          <t>البند (لسيارة واحدة)</t>
        </is>
      </c>
      <c r="B9" s="17" t="inlineStr">
        <is>
          <t>صالون</t>
        </is>
      </c>
      <c r="C9" s="17" t="inlineStr">
        <is>
          <t>جيب</t>
        </is>
      </c>
      <c r="D9" s="17" t="inlineStr">
        <is>
          <t>لكلا السيارتين (صالون)</t>
        </is>
      </c>
      <c r="E9" s="17" t="inlineStr">
        <is>
          <t>لكلا السيارتين (جيب)</t>
        </is>
      </c>
      <c r="F9" s="18" t="n"/>
      <c r="G9" s="18" t="n"/>
      <c r="H9" s="18" t="n"/>
    </row>
    <row r="10">
      <c r="A10" s="17" t="inlineStr">
        <is>
          <t>الإيراد</t>
        </is>
      </c>
      <c r="B10" s="20">
        <f>F7</f>
        <v/>
      </c>
      <c r="C10" s="20">
        <f>H7</f>
        <v/>
      </c>
      <c r="D10" s="20">
        <f>2*F7</f>
        <v/>
      </c>
      <c r="E10" s="20">
        <f>2*H7</f>
        <v/>
      </c>
      <c r="F10" s="17" t="n"/>
      <c r="G10" s="17" t="n"/>
      <c r="H10" s="17" t="n"/>
    </row>
    <row r="11">
      <c r="A11" s="18" t="inlineStr">
        <is>
          <t>المواد</t>
        </is>
      </c>
      <c r="B11" s="19">
        <f>D7</f>
        <v/>
      </c>
      <c r="C11" s="19">
        <f>D7</f>
        <v/>
      </c>
      <c r="D11" s="19">
        <f>2*D7</f>
        <v/>
      </c>
      <c r="E11" s="19">
        <f>2*D7</f>
        <v/>
      </c>
      <c r="F11" s="18" t="n"/>
      <c r="G11" s="18" t="n"/>
      <c r="H11" s="18" t="n"/>
    </row>
    <row r="12">
      <c r="A12" s="18" t="inlineStr">
        <is>
          <t>العمال (عاملين × 160)</t>
        </is>
      </c>
      <c r="B12" s="19">
        <f>2*'المدخلات'!B3</f>
        <v/>
      </c>
      <c r="C12" s="19">
        <f>2*'المدخلات'!B3</f>
        <v/>
      </c>
      <c r="D12" s="19">
        <f>4*'المدخلات'!B3</f>
        <v/>
      </c>
      <c r="E12" s="19">
        <f>4*'المدخلات'!B3</f>
        <v/>
      </c>
      <c r="F12" s="18" t="n"/>
      <c r="G12" s="18" t="n"/>
      <c r="H12" s="18" t="n"/>
    </row>
    <row r="13">
      <c r="A13" s="18" t="inlineStr">
        <is>
          <t>بنزين وكهرباء (10 د.ك بالأسبوع)</t>
        </is>
      </c>
      <c r="B13" s="19">
        <f>10*52/12</f>
        <v/>
      </c>
      <c r="C13" s="19">
        <f>10*52/12</f>
        <v/>
      </c>
      <c r="D13" s="19">
        <f>2*10*52/12</f>
        <v/>
      </c>
      <c r="E13" s="19">
        <f>2*10*52/12</f>
        <v/>
      </c>
      <c r="F13" s="18" t="n"/>
      <c r="G13" s="18" t="n"/>
      <c r="H13" s="18" t="n"/>
    </row>
    <row r="14">
      <c r="A14" s="18" t="inlineStr">
        <is>
          <t>الإعلانات (نص الـ 100)</t>
        </is>
      </c>
      <c r="B14" s="19">
        <f>100/2</f>
        <v/>
      </c>
      <c r="C14" s="19">
        <f>100/2</f>
        <v/>
      </c>
      <c r="D14" s="19">
        <f>100</f>
        <v/>
      </c>
      <c r="E14" s="19">
        <f>100</f>
        <v/>
      </c>
      <c r="F14" s="18" t="n"/>
      <c r="G14" s="18" t="n"/>
      <c r="H14" s="18" t="n"/>
    </row>
    <row r="15">
      <c r="A15" s="21" t="inlineStr">
        <is>
          <t>إجمالي التكلفة</t>
        </is>
      </c>
      <c r="B15" s="19">
        <f>SUM(B11:B14)</f>
        <v/>
      </c>
      <c r="C15" s="19">
        <f>SUM(C11:C14)</f>
        <v/>
      </c>
      <c r="D15" s="19">
        <f>SUM(D11:D14)</f>
        <v/>
      </c>
      <c r="E15" s="19">
        <f>SUM(E11:E14)</f>
        <v/>
      </c>
      <c r="F15" s="18" t="n"/>
      <c r="G15" s="18" t="n"/>
      <c r="H15" s="18" t="n"/>
    </row>
    <row r="16">
      <c r="A16" s="22" t="inlineStr">
        <is>
          <t>الربح الشهري</t>
        </is>
      </c>
      <c r="B16" s="25">
        <f>B10-B15</f>
        <v/>
      </c>
      <c r="C16" s="25">
        <f>C10-C15</f>
        <v/>
      </c>
      <c r="D16" s="25">
        <f>D10-D15</f>
        <v/>
      </c>
      <c r="E16" s="25">
        <f>E10-E15</f>
        <v/>
      </c>
      <c r="F16" s="18" t="n"/>
      <c r="G16" s="18" t="n"/>
      <c r="H16" s="18" t="n"/>
    </row>
    <row r="17">
      <c r="A17" s="21" t="n"/>
      <c r="B17" s="22" t="n"/>
      <c r="C17" s="22" t="n"/>
      <c r="D17" s="22" t="n"/>
      <c r="E17" s="22" t="n"/>
      <c r="F17" s="18" t="n"/>
      <c r="G17" s="18" t="n"/>
      <c r="H17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9" min="1" max="1"/>
    <col width="12" customWidth="1" style="9" min="2" max="2"/>
    <col width="14" customWidth="1" style="9" min="3" max="3"/>
    <col width="18" customWidth="1" style="9" min="4" max="4"/>
  </cols>
  <sheetData>
    <row r="1" ht="15" customHeight="1" s="10">
      <c r="A1" s="11" t="inlineStr">
        <is>
          <t>البند</t>
        </is>
      </c>
      <c r="B1" s="11" t="inlineStr">
        <is>
          <t>القيمة</t>
        </is>
      </c>
      <c r="C1" s="11" t="inlineStr">
        <is>
          <t>الوحدة</t>
        </is>
      </c>
      <c r="D1" s="11" t="inlineStr">
        <is>
          <t>المصدر</t>
        </is>
      </c>
    </row>
    <row r="2" ht="15" customHeight="1" s="10">
      <c r="A2" s="12" t="inlineStr">
        <is>
          <t>عدد العمال</t>
        </is>
      </c>
      <c r="B2" s="12" t="n">
        <v>4</v>
      </c>
      <c r="C2" s="12" t="inlineStr">
        <is>
          <t>عامل</t>
        </is>
      </c>
      <c r="D2" s="12" t="inlineStr">
        <is>
          <t>ملاحظات ميثم</t>
        </is>
      </c>
    </row>
    <row r="3" ht="15" customHeight="1" s="10">
      <c r="A3" s="12" t="inlineStr">
        <is>
          <t>راتب العامل</t>
        </is>
      </c>
      <c r="B3" s="12" t="n">
        <v>160</v>
      </c>
      <c r="C3" s="12" t="inlineStr">
        <is>
          <t>د.ك/شهر</t>
        </is>
      </c>
      <c r="D3" s="12" t="inlineStr">
        <is>
          <t>ملاحظات ميثم</t>
        </is>
      </c>
    </row>
    <row r="4" ht="15" customHeight="1" s="10">
      <c r="A4" s="12" t="inlineStr">
        <is>
          <t>بنزين + كهرباء لكل سيارة</t>
        </is>
      </c>
      <c r="B4" s="12" t="n">
        <v>10</v>
      </c>
      <c r="C4" s="12" t="inlineStr">
        <is>
          <t>د.ك/أسبوع</t>
        </is>
      </c>
      <c r="D4" s="12" t="inlineStr">
        <is>
          <t>ملاحظات ميثم</t>
        </is>
      </c>
    </row>
    <row r="5" ht="15" customHeight="1" s="10">
      <c r="A5" s="12" t="inlineStr">
        <is>
          <t>عدد السيارات</t>
        </is>
      </c>
      <c r="B5" s="12" t="n">
        <v>2</v>
      </c>
      <c r="C5" s="12" t="inlineStr">
        <is>
          <t>سيارة</t>
        </is>
      </c>
      <c r="D5" s="12" t="inlineStr">
        <is>
          <t>الملف</t>
        </is>
      </c>
    </row>
    <row r="6" ht="15" customHeight="1" s="10">
      <c r="A6" s="12" t="inlineStr">
        <is>
          <t>غسلات باليوم لكل سيارة (حد أدنى)</t>
        </is>
      </c>
      <c r="B6" s="12" t="n">
        <v>6</v>
      </c>
      <c r="C6" s="12" t="inlineStr">
        <is>
          <t>غسلة</t>
        </is>
      </c>
      <c r="D6" s="12" t="inlineStr">
        <is>
          <t>ملاحظات ميثم</t>
        </is>
      </c>
    </row>
    <row r="7" ht="15" customHeight="1" s="10">
      <c r="A7" s="12" t="inlineStr">
        <is>
          <t>أيام العمل بالشهر</t>
        </is>
      </c>
      <c r="B7" s="12" t="n">
        <v>26</v>
      </c>
      <c r="C7" s="12" t="inlineStr">
        <is>
          <t>يوم</t>
        </is>
      </c>
      <c r="D7" s="12" t="inlineStr">
        <is>
          <t>افتراض</t>
        </is>
      </c>
    </row>
    <row r="8" ht="15" customHeight="1" s="10">
      <c r="A8" s="12" t="inlineStr">
        <is>
          <t>شامبو 25 لتر</t>
        </is>
      </c>
      <c r="B8" s="12" t="n">
        <v>15</v>
      </c>
      <c r="C8" s="12" t="inlineStr">
        <is>
          <t>د.ك</t>
        </is>
      </c>
      <c r="D8" s="12" t="inlineStr">
        <is>
          <t>ملاحظات ميثم</t>
        </is>
      </c>
    </row>
    <row r="9" ht="15" customHeight="1" s="10">
      <c r="A9" s="12" t="inlineStr">
        <is>
          <t>كيميكال 25 لتر</t>
        </is>
      </c>
      <c r="B9" s="12" t="n">
        <v>35</v>
      </c>
      <c r="C9" s="12" t="inlineStr">
        <is>
          <t>د.ك</t>
        </is>
      </c>
      <c r="D9" s="12" t="inlineStr">
        <is>
          <t>ملاحظات ميثم</t>
        </is>
      </c>
    </row>
    <row r="10" ht="15" customHeight="1" s="10">
      <c r="A10" s="12" t="inlineStr">
        <is>
          <t>سعر الفوطة</t>
        </is>
      </c>
      <c r="B10" s="12" t="n">
        <v>0.75</v>
      </c>
      <c r="C10" s="12" t="inlineStr">
        <is>
          <t>د.ك</t>
        </is>
      </c>
      <c r="D10" s="12" t="inlineStr">
        <is>
          <t>ملف الموردين</t>
        </is>
      </c>
    </row>
    <row r="11" ht="15" customHeight="1" s="10">
      <c r="A11" s="12" t="inlineStr">
        <is>
          <t>عمر الفوطة</t>
        </is>
      </c>
      <c r="B11" s="12" t="n">
        <v>30</v>
      </c>
      <c r="C11" s="12" t="inlineStr">
        <is>
          <t>غسلة</t>
        </is>
      </c>
      <c r="D11" s="12" t="inlineStr">
        <is>
          <t>ملاحظات ميثم</t>
        </is>
      </c>
    </row>
    <row r="12" ht="15" customHeight="1" s="10">
      <c r="A12" s="12" t="inlineStr">
        <is>
          <t>فوط باليوم</t>
        </is>
      </c>
      <c r="B12" s="12" t="n">
        <v>10</v>
      </c>
      <c r="C12" s="12" t="inlineStr">
        <is>
          <t>فوطة</t>
        </is>
      </c>
      <c r="D12" s="12" t="inlineStr">
        <is>
          <t>ملاحظات ميثم</t>
        </is>
      </c>
    </row>
    <row r="13" ht="15" customHeight="1" s="10">
      <c r="A13" s="12" t="inlineStr">
        <is>
          <t>كلينكس 1000 علبة</t>
        </is>
      </c>
      <c r="B13" s="12" t="n">
        <v>65</v>
      </c>
      <c r="C13" s="12" t="inlineStr">
        <is>
          <t>د.ك</t>
        </is>
      </c>
      <c r="D13" s="12" t="inlineStr">
        <is>
          <t>ملاحظات ميثم</t>
        </is>
      </c>
    </row>
    <row r="14" ht="15" customHeight="1" s="10">
      <c r="A14" s="12" t="inlineStr">
        <is>
          <t>معطر</t>
        </is>
      </c>
      <c r="B14" s="12" t="n">
        <v>0.25</v>
      </c>
      <c r="C14" s="12" t="inlineStr">
        <is>
          <t>د.ك</t>
        </is>
      </c>
      <c r="D14" s="12" t="inlineStr">
        <is>
          <t>ملاحظات ميثم</t>
        </is>
      </c>
    </row>
    <row r="15" ht="15" customHeight="1" s="10">
      <c r="A15" s="12" t="inlineStr">
        <is>
          <t>ملمع تواير (علبة 500 مل)</t>
        </is>
      </c>
      <c r="B15" s="12" t="n">
        <v>3</v>
      </c>
      <c r="C15" s="12" t="inlineStr">
        <is>
          <t>د.ك</t>
        </is>
      </c>
      <c r="D15" s="23" t="inlineStr">
        <is>
          <t>Getgayar</t>
        </is>
      </c>
    </row>
    <row r="16" ht="15" customHeight="1" s="10">
      <c r="A16" s="12" t="inlineStr">
        <is>
          <t>ملمع تواير للسيارة</t>
        </is>
      </c>
      <c r="B16" s="23" t="n">
        <v>40</v>
      </c>
      <c r="C16" s="12" t="inlineStr">
        <is>
          <t>مل</t>
        </is>
      </c>
      <c r="D16" s="12" t="inlineStr">
        <is>
          <t>تقدير</t>
        </is>
      </c>
    </row>
    <row r="17" ht="15" customHeight="1" s="10">
      <c r="A17" s="12" t="inlineStr">
        <is>
          <t>بوليش للسبشل</t>
        </is>
      </c>
      <c r="B17" s="23" t="n">
        <v>2</v>
      </c>
      <c r="C17" s="12" t="inlineStr">
        <is>
          <t>د.ك/غسلة</t>
        </is>
      </c>
      <c r="D17" s="12" t="inlineStr">
        <is>
          <t>تقدير</t>
        </is>
      </c>
    </row>
    <row r="18" ht="15" customHeight="1" s="10">
      <c r="A18" s="12" t="inlineStr">
        <is>
          <t>إعلانات</t>
        </is>
      </c>
      <c r="B18" s="23" t="n">
        <v>100</v>
      </c>
      <c r="C18" s="12" t="inlineStr">
        <is>
          <t>د.ك/شهر</t>
        </is>
      </c>
      <c r="D18" s="12" t="inlineStr">
        <is>
          <t>افتراض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9" min="1" max="1"/>
    <col width="12" customWidth="1" style="9" min="2" max="6"/>
    <col width="22" customWidth="1" style="9" min="7" max="7"/>
  </cols>
  <sheetData>
    <row r="1" ht="15" customHeight="1" s="10">
      <c r="A1" s="11" t="inlineStr">
        <is>
          <t>المادة</t>
        </is>
      </c>
      <c r="B1" s="11" t="inlineStr">
        <is>
          <t>ببلز</t>
        </is>
      </c>
      <c r="C1" s="11" t="inlineStr">
        <is>
          <t>دبل</t>
        </is>
      </c>
      <c r="D1" s="11" t="inlineStr">
        <is>
          <t>سوبر</t>
        </is>
      </c>
      <c r="E1" s="11" t="inlineStr">
        <is>
          <t>سوبر توب</t>
        </is>
      </c>
      <c r="F1" s="11" t="inlineStr">
        <is>
          <t>سبشل</t>
        </is>
      </c>
      <c r="G1" s="11" t="inlineStr">
        <is>
          <t>ملاحظة</t>
        </is>
      </c>
    </row>
    <row r="2" ht="15" customHeight="1" s="10">
      <c r="A2" s="12" t="inlineStr">
        <is>
          <t>شامبو (0.5 لتر، 25% مركز)</t>
        </is>
      </c>
      <c r="B2" s="23">
        <f>0.5*(12.5/49.5)*('المدخلات'!B8/25)</f>
        <v/>
      </c>
      <c r="C2" s="23">
        <f>B2</f>
        <v/>
      </c>
      <c r="D2" s="23">
        <f>B2</f>
        <v/>
      </c>
      <c r="E2" s="23">
        <f>B2</f>
        <v/>
      </c>
      <c r="F2" s="23">
        <f>B2</f>
        <v/>
      </c>
      <c r="G2" s="23" t="inlineStr">
        <is>
          <t>12.5 لتر من 49.5 خليط</t>
        </is>
      </c>
    </row>
    <row r="3" ht="15" customHeight="1" s="10">
      <c r="A3" s="12" t="inlineStr">
        <is>
          <t>كيميكال 250 مل (5 من 50)</t>
        </is>
      </c>
      <c r="B3" s="23">
        <f>0.25*(5/50)*('المدخلات'!B9/25)</f>
        <v/>
      </c>
      <c r="C3" s="23">
        <f>B3</f>
        <v/>
      </c>
      <c r="D3" s="23">
        <f>B3</f>
        <v/>
      </c>
      <c r="E3" s="23">
        <f>B3</f>
        <v/>
      </c>
      <c r="F3" s="23">
        <f>B3</f>
        <v/>
      </c>
      <c r="G3" s="23" t="inlineStr">
        <is>
          <t>5 لتر + 45 ماء</t>
        </is>
      </c>
    </row>
    <row r="4" ht="15" customHeight="1" s="10">
      <c r="A4" s="12" t="inlineStr">
        <is>
          <t>فوط (10 باليوم ÷ 12 غسلة)</t>
        </is>
      </c>
      <c r="B4" s="23">
        <f>(المدخلات!B12/(المدخلات!B5*المدخلات!B6))*(المدخلات!B10/المدخلات!B11)</f>
        <v/>
      </c>
      <c r="C4" s="23">
        <f>B4</f>
        <v/>
      </c>
      <c r="D4" s="23">
        <f>B4</f>
        <v/>
      </c>
      <c r="E4" s="23">
        <f>B4</f>
        <v/>
      </c>
      <c r="F4" s="23">
        <f>B4</f>
        <v/>
      </c>
      <c r="G4" s="12" t="inlineStr">
        <is>
          <t>فوط تنشيف وتنظيف</t>
        </is>
      </c>
    </row>
    <row r="5" ht="15" customHeight="1" s="10">
      <c r="A5" s="12" t="inlineStr">
        <is>
          <t>ملمع تواير (40 مل)</t>
        </is>
      </c>
      <c r="B5" s="23" t="n">
        <v>0</v>
      </c>
      <c r="C5" s="23">
        <f>المدخلات!B16*(المدخلات!B15/500)</f>
        <v/>
      </c>
      <c r="D5" s="23">
        <f>C5</f>
        <v/>
      </c>
      <c r="E5" s="23">
        <f>C5</f>
        <v/>
      </c>
      <c r="F5" s="23">
        <f>C5</f>
        <v/>
      </c>
      <c r="G5" s="12" t="inlineStr">
        <is>
          <t>جاهز للرش</t>
        </is>
      </c>
    </row>
    <row r="6" ht="15" customHeight="1" s="10">
      <c r="A6" s="12" t="inlineStr">
        <is>
          <t>واكس خارجي (300 مل في 49.3 لتر، 2 لتر باليوم للسيارة)</t>
        </is>
      </c>
      <c r="B6" s="23" t="n">
        <v>0</v>
      </c>
      <c r="C6" s="23">
        <f>(2/6)*(0.3*(4/0.5))/49.3</f>
        <v/>
      </c>
      <c r="D6" s="23">
        <f>(2/6)*(0.3*(4/0.5))/49.3</f>
        <v/>
      </c>
      <c r="E6" s="23">
        <f>(2/6)*(0.3*(4/0.5))/49.3</f>
        <v/>
      </c>
      <c r="F6" s="23">
        <f>(2/6)*(0.3*(4/0.5))/49.3</f>
        <v/>
      </c>
      <c r="G6" s="12" t="inlineStr">
        <is>
          <t>تقدير</t>
        </is>
      </c>
    </row>
    <row r="7" ht="15" customHeight="1" s="10">
      <c r="A7" s="12" t="inlineStr">
        <is>
          <t>كيميكال إضافي (طبلون وكشنات)</t>
        </is>
      </c>
      <c r="B7" s="23" t="n">
        <v>0</v>
      </c>
      <c r="C7" s="23" t="n">
        <v>0.09</v>
      </c>
      <c r="D7" s="23" t="n">
        <v>0.27</v>
      </c>
      <c r="E7" s="23" t="n">
        <v>0.27</v>
      </c>
      <c r="F7" s="23" t="n">
        <v>0.27</v>
      </c>
      <c r="G7" s="12" t="inlineStr">
        <is>
          <t>تقدير</t>
        </is>
      </c>
    </row>
    <row r="8" ht="15" customHeight="1" s="10">
      <c r="A8" s="12" t="inlineStr">
        <is>
          <t>معطر + كلينكس (هدية)</t>
        </is>
      </c>
      <c r="B8" s="23" t="n">
        <v>0</v>
      </c>
      <c r="C8" s="23" t="n">
        <v>0</v>
      </c>
      <c r="D8" s="23" t="n">
        <v>0</v>
      </c>
      <c r="E8" s="23">
        <f>المدخلات!B14+المدخلات!B13/1000</f>
        <v/>
      </c>
      <c r="F8" s="23">
        <f>E8</f>
        <v/>
      </c>
      <c r="G8" s="12" t="inlineStr">
        <is>
          <t>توب وسبشل</t>
        </is>
      </c>
    </row>
    <row r="9" ht="15" customHeight="1" s="10">
      <c r="A9" s="12" t="inlineStr">
        <is>
          <t>كشنات عميقة (توب)</t>
        </is>
      </c>
      <c r="B9" s="23" t="n">
        <v>0</v>
      </c>
      <c r="C9" s="23" t="n">
        <v>0</v>
      </c>
      <c r="D9" s="23" t="n">
        <v>0</v>
      </c>
      <c r="E9" s="23" t="n">
        <v>0.18</v>
      </c>
      <c r="F9" s="23" t="n">
        <v>0.18</v>
      </c>
      <c r="G9" s="12" t="inlineStr">
        <is>
          <t>تقدير</t>
        </is>
      </c>
    </row>
    <row r="10" ht="15" customHeight="1" s="10">
      <c r="A10" s="12" t="inlineStr">
        <is>
          <t>بوليش (سبشل)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>
        <f>المدخلات!B17</f>
        <v/>
      </c>
      <c r="G10" s="12" t="inlineStr">
        <is>
          <t>تقدير</t>
        </is>
      </c>
    </row>
    <row r="11" ht="15" customHeight="1" s="10">
      <c r="A11" s="24" t="inlineStr">
        <is>
          <t>مجموع المواد للغسلة</t>
        </is>
      </c>
      <c r="B11" s="24">
        <f>SUM(B2:B10)</f>
        <v/>
      </c>
      <c r="C11" s="24">
        <f>SUM(C2:C10)</f>
        <v/>
      </c>
      <c r="D11" s="24">
        <f>SUM(D2:D10)</f>
        <v/>
      </c>
      <c r="E11" s="24">
        <f>SUM(E2:E10)</f>
        <v/>
      </c>
      <c r="F11" s="24">
        <f>SUM(F2:F10)</f>
        <v/>
      </c>
      <c r="G11" s="2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2026-10-20T22:51:54Z</dcterms:created>
  <dcterms:modified xmlns:dcterms="http://purl.org/dc/terms/" xmlns:xsi="http://www.w3.org/2001/XMLSchema-instance" xsi:type="dcterms:W3CDTF">2026-10-20T23:36:56Z</dcterms:modified>
  <cp:revision>0</cp:revision>
</cp:coreProperties>
</file>