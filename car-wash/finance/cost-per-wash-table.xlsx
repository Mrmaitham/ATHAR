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الحسبة للباقات" sheetId="1" state="visible" r:id="rId3"/>
    <sheet name="المدخلات" sheetId="2" state="visible" r:id="rId4"/>
    <sheet name="مواد الغسل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<sst xmlns="http://schemas.openxmlformats.org/spreadsheetml/2006/main" count="104" uniqueCount="81">
  <si>
    <t xml:space="preserve">الباقة</t>
  </si>
  <si>
    <t xml:space="preserve">المواد للغسلة</t>
  </si>
  <si>
    <t xml:space="preserve">العمال للغسلة</t>
  </si>
  <si>
    <t xml:space="preserve">بنزين وكهرباء للغسلة</t>
  </si>
  <si>
    <t xml:space="preserve">التكلفة الكاملة</t>
  </si>
  <si>
    <t xml:space="preserve">سعر صالون</t>
  </si>
  <si>
    <t xml:space="preserve">ربح صالون</t>
  </si>
  <si>
    <t xml:space="preserve">سعر جيب</t>
  </si>
  <si>
    <t xml:space="preserve">ربح جيب</t>
  </si>
  <si>
    <t xml:space="preserve">ببلز</t>
  </si>
  <si>
    <t xml:space="preserve">دبل ببلز</t>
  </si>
  <si>
    <t xml:space="preserve">سوبر ببلز</t>
  </si>
  <si>
    <t xml:space="preserve">سوبر توب ببلز</t>
  </si>
  <si>
    <t xml:space="preserve">سبشل ببلز</t>
  </si>
  <si>
    <r>
      <rPr>
        <b val="true"/>
        <sz val="11"/>
        <rFont val="FreeSans"/>
        <family val="2"/>
      </rPr>
      <t xml:space="preserve">الشهر </t>
    </r>
    <r>
      <rPr>
        <b val="true"/>
        <sz val="11"/>
        <rFont val="Cambria"/>
        <family val="0"/>
        <charset val="1"/>
      </rPr>
      <t xml:space="preserve">(312 </t>
    </r>
    <r>
      <rPr>
        <b val="true"/>
        <sz val="11"/>
        <rFont val="FreeSans"/>
        <family val="2"/>
      </rPr>
      <t xml:space="preserve">غسلة، توزيع </t>
    </r>
    <r>
      <rPr>
        <b val="true"/>
        <sz val="11"/>
        <rFont val="Cambria"/>
        <family val="0"/>
        <charset val="1"/>
      </rPr>
      <t xml:space="preserve">50/30/15/5)</t>
    </r>
  </si>
  <si>
    <t xml:space="preserve">الإيراد الشهري</t>
  </si>
  <si>
    <t xml:space="preserve">المواد الشهرية</t>
  </si>
  <si>
    <t xml:space="preserve">العمال الشهرية</t>
  </si>
  <si>
    <t xml:space="preserve">البنزين والكهرباء الشهرية</t>
  </si>
  <si>
    <t xml:space="preserve">الإعلانات</t>
  </si>
  <si>
    <t xml:space="preserve">إجمالي التكلفة الشهرية</t>
  </si>
  <si>
    <t xml:space="preserve">الربح الشهري</t>
  </si>
  <si>
    <r>
      <rPr>
        <b val="true"/>
        <sz val="11"/>
        <rFont val="FreeSans"/>
        <family val="2"/>
      </rPr>
      <t xml:space="preserve">نقطة التعادل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غسلات بالشهر</t>
    </r>
    <r>
      <rPr>
        <b val="true"/>
        <sz val="11"/>
        <rFont val="Cambria"/>
        <family val="0"/>
        <charset val="1"/>
      </rPr>
      <t xml:space="preserve">)</t>
    </r>
  </si>
  <si>
    <t xml:space="preserve">البند</t>
  </si>
  <si>
    <t xml:space="preserve">القيمة</t>
  </si>
  <si>
    <t xml:space="preserve">الوحدة</t>
  </si>
  <si>
    <t xml:space="preserve">المصدر</t>
  </si>
  <si>
    <t xml:space="preserve">عدد العمال</t>
  </si>
  <si>
    <t xml:space="preserve">عامل</t>
  </si>
  <si>
    <t xml:space="preserve">ملاحظات ميثم</t>
  </si>
  <si>
    <t xml:space="preserve">راتب العامل</t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</si>
  <si>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شهر</t>
    </r>
  </si>
  <si>
    <r>
      <rPr>
        <sz val="11"/>
        <color theme="1"/>
        <rFont val="FreeSans"/>
        <family val="2"/>
      </rPr>
      <t xml:space="preserve">بنزين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كهرباء لكل سيارة</t>
    </r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</si>
  <si>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أسبوع</t>
    </r>
  </si>
  <si>
    <t xml:space="preserve">عدد السيارات</t>
  </si>
  <si>
    <t xml:space="preserve">سيارة</t>
  </si>
  <si>
    <t xml:space="preserve">الملف</t>
  </si>
  <si>
    <r>
      <rPr>
        <sz val="11"/>
        <color theme="1"/>
        <rFont val="FreeSans"/>
        <family val="2"/>
      </rPr>
      <t xml:space="preserve">غسلات باليوم لكل سيارة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حد أدنى</t>
    </r>
    <r>
      <rPr>
        <sz val="11"/>
        <color theme="1"/>
        <rFont val="Calibri"/>
        <family val="2"/>
        <charset val="1"/>
      </rPr>
      <t xml:space="preserve">)</t>
    </r>
  </si>
  <si>
    <t xml:space="preserve">غسلة</t>
  </si>
  <si>
    <t xml:space="preserve">أيام العمل بالشهر</t>
  </si>
  <si>
    <t xml:space="preserve">يوم</t>
  </si>
  <si>
    <t xml:space="preserve">افتراض</t>
  </si>
  <si>
    <r>
      <rPr>
        <sz val="11"/>
        <color theme="1"/>
        <rFont val="FreeSans"/>
        <family val="2"/>
      </rPr>
      <t xml:space="preserve">شامبو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لتر</t>
    </r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</si>
  <si>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ك</t>
    </r>
  </si>
  <si>
    <r>
      <rPr>
        <sz val="11"/>
        <color theme="1"/>
        <rFont val="FreeSans"/>
        <family val="2"/>
      </rPr>
      <t xml:space="preserve">كيميكال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لتر</t>
    </r>
  </si>
  <si>
    <t xml:space="preserve">سعر الفوطة</t>
  </si>
  <si>
    <t xml:space="preserve">ملف الموردين</t>
  </si>
  <si>
    <t xml:space="preserve">عمر الفوطة</t>
  </si>
  <si>
    <t xml:space="preserve">فوط باليوم</t>
  </si>
  <si>
    <t xml:space="preserve">فوطة</t>
  </si>
  <si>
    <r>
      <rPr>
        <sz val="11"/>
        <color theme="1"/>
        <rFont val="FreeSans"/>
        <family val="2"/>
      </rPr>
      <t xml:space="preserve">كلينكس 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FreeSans"/>
        <family val="2"/>
      </rPr>
      <t xml:space="preserve">علبة</t>
    </r>
  </si>
  <si>
    <t xml:space="preserve">معطر</t>
  </si>
  <si>
    <r>
      <rPr>
        <sz val="11"/>
        <color theme="1"/>
        <rFont val="FreeSans"/>
        <family val="2"/>
      </rPr>
      <t xml:space="preserve">ملمع تواير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علبة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FreeSans"/>
        <family val="2"/>
      </rPr>
      <t xml:space="preserve">مل</t>
    </r>
    <r>
      <rPr>
        <sz val="11"/>
        <color theme="1"/>
        <rFont val="Calibri"/>
        <family val="2"/>
        <charset val="1"/>
      </rPr>
      <t xml:space="preserve">)</t>
    </r>
  </si>
  <si>
    <t xml:space="preserve">Getgayar</t>
  </si>
  <si>
    <t xml:space="preserve">ملمع تواير للسيارة</t>
  </si>
  <si>
    <t xml:space="preserve">مل</t>
  </si>
  <si>
    <t xml:space="preserve">تقدير</t>
  </si>
  <si>
    <t xml:space="preserve">بوليش للسبشل</t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</si>
  <si>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غسلة</t>
    </r>
  </si>
  <si>
    <t xml:space="preserve">إعلانات</t>
  </si>
  <si>
    <t xml:space="preserve">المادة</t>
  </si>
  <si>
    <t xml:space="preserve">دبل</t>
  </si>
  <si>
    <t xml:space="preserve">سوبر</t>
  </si>
  <si>
    <t xml:space="preserve">سوبر توب</t>
  </si>
  <si>
    <t xml:space="preserve">سبشل</t>
  </si>
  <si>
    <t xml:space="preserve">ملاحظة</t>
  </si>
  <si>
    <r>
      <rPr>
        <sz val="11"/>
        <color theme="1"/>
        <rFont val="FreeSans"/>
        <family val="2"/>
      </rPr>
      <t xml:space="preserve">شامبو </t>
    </r>
    <r>
      <rPr>
        <sz val="11"/>
        <color theme="1"/>
        <rFont val="Calibri"/>
        <family val="2"/>
        <charset val="1"/>
      </rPr>
      <t xml:space="preserve">(0.5 </t>
    </r>
    <r>
      <rPr>
        <sz val="11"/>
        <color theme="1"/>
        <rFont val="FreeSans"/>
        <family val="2"/>
      </rPr>
      <t xml:space="preserve">لتر،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FreeSans"/>
        <family val="2"/>
      </rPr>
      <t xml:space="preserve">مركز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</si>
  <si>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FreeSans"/>
        <family val="2"/>
      </rPr>
      <t xml:space="preserve">لتر من </t>
    </r>
    <r>
      <rPr>
        <sz val="11"/>
        <color theme="1"/>
        <rFont val="Calibri"/>
        <family val="2"/>
        <charset val="1"/>
      </rPr>
      <t xml:space="preserve">49.5 </t>
    </r>
    <r>
      <rPr>
        <sz val="11"/>
        <color theme="1"/>
        <rFont val="FreeSans"/>
        <family val="2"/>
      </rPr>
      <t xml:space="preserve">خليط</t>
    </r>
  </si>
  <si>
    <r>
      <rPr>
        <sz val="11"/>
        <color theme="1"/>
        <rFont val="FreeSans"/>
        <family val="2"/>
      </rPr>
      <t xml:space="preserve">كيميكال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FreeSans"/>
        <family val="2"/>
      </rPr>
      <t xml:space="preserve">مل </t>
    </r>
    <r>
      <rPr>
        <sz val="11"/>
        <color theme="1"/>
        <rFont val="Calibri"/>
        <family val="2"/>
        <charset val="1"/>
      </rPr>
      <t xml:space="preserve">(5 </t>
    </r>
    <r>
      <rPr>
        <sz val="11"/>
        <color theme="1"/>
        <rFont val="FreeSans"/>
        <family val="2"/>
      </rPr>
      <t xml:space="preserve">من </t>
    </r>
    <r>
      <rPr>
        <sz val="11"/>
        <color theme="1"/>
        <rFont val="Calibri"/>
        <family val="2"/>
        <charset val="1"/>
      </rPr>
      <t xml:space="preserve">50)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</si>
  <si>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لتر </t>
    </r>
    <r>
      <rPr>
        <sz val="11"/>
        <color theme="1"/>
        <rFont val="Calibri"/>
        <family val="2"/>
        <charset val="1"/>
      </rPr>
      <t xml:space="preserve">+ 45 </t>
    </r>
    <r>
      <rPr>
        <sz val="11"/>
        <color theme="1"/>
        <rFont val="FreeSans"/>
        <family val="2"/>
      </rPr>
      <t xml:space="preserve">ماء</t>
    </r>
  </si>
  <si>
    <r>
      <rPr>
        <sz val="11"/>
        <color theme="1"/>
        <rFont val="FreeSans"/>
        <family val="2"/>
      </rPr>
      <t xml:space="preserve">فوط </t>
    </r>
    <r>
      <rPr>
        <sz val="11"/>
        <color theme="1"/>
        <rFont val="Calibri"/>
        <family val="2"/>
        <charset val="1"/>
      </rPr>
      <t xml:space="preserve">(10 </t>
    </r>
    <r>
      <rPr>
        <sz val="11"/>
        <color theme="1"/>
        <rFont val="FreeSans"/>
        <family val="2"/>
      </rPr>
      <t xml:space="preserve">باليوم </t>
    </r>
    <r>
      <rPr>
        <sz val="11"/>
        <color theme="1"/>
        <rFont val="Calibri"/>
        <family val="2"/>
        <charset val="1"/>
      </rPr>
      <t xml:space="preserve">÷ 12 </t>
    </r>
    <r>
      <rPr>
        <sz val="11"/>
        <color theme="1"/>
        <rFont val="FreeSans"/>
        <family val="2"/>
      </rPr>
      <t xml:space="preserve">غسلة</t>
    </r>
    <r>
      <rPr>
        <sz val="11"/>
        <color theme="1"/>
        <rFont val="Calibri"/>
        <family val="2"/>
        <charset val="1"/>
      </rPr>
      <t xml:space="preserve">)</t>
    </r>
  </si>
  <si>
    <t xml:space="preserve">فوط تنشيف وتنظيف</t>
  </si>
  <si>
    <r>
      <rPr>
        <sz val="11"/>
        <color theme="1"/>
        <rFont val="FreeSans"/>
        <family val="2"/>
      </rPr>
      <t xml:space="preserve">ملمع تواير </t>
    </r>
    <r>
      <rPr>
        <sz val="11"/>
        <color theme="1"/>
        <rFont val="Calibri"/>
        <family val="2"/>
        <charset val="1"/>
      </rPr>
      <t xml:space="preserve">(40 </t>
    </r>
    <r>
      <rPr>
        <sz val="11"/>
        <color theme="1"/>
        <rFont val="FreeSans"/>
        <family val="2"/>
      </rPr>
      <t xml:space="preserve">مل</t>
    </r>
    <r>
      <rPr>
        <sz val="11"/>
        <color theme="1"/>
        <rFont val="Calibri"/>
        <family val="2"/>
        <charset val="1"/>
      </rPr>
      <t xml:space="preserve">)</t>
    </r>
  </si>
  <si>
    <t xml:space="preserve">جاهز للرش</t>
  </si>
  <si>
    <r>
      <rPr>
        <sz val="11"/>
        <color theme="1"/>
        <rFont val="FreeSans"/>
        <family val="2"/>
      </rPr>
      <t xml:space="preserve">واكس خارجي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تقدير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</si>
  <si>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كيميكال إضافي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طبلون وكشنات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</si>
  <si>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معطر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كلينكس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هدية</t>
    </r>
    <r>
      <rPr>
        <sz val="11"/>
        <color theme="1"/>
        <rFont val="Calibri"/>
        <family val="2"/>
        <charset val="1"/>
      </rPr>
      <t xml:space="preserve">)</t>
    </r>
  </si>
  <si>
    <t xml:space="preserve">توب وسبشل</t>
  </si>
  <si>
    <r>
      <rPr>
        <sz val="11"/>
        <color theme="1"/>
        <rFont val="FreeSans"/>
        <family val="2"/>
      </rPr>
      <t xml:space="preserve">كشنات عميقة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توب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</si>
  <si>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بوليش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سبشل</t>
    </r>
    <r>
      <rPr>
        <sz val="11"/>
        <color theme="1"/>
        <rFont val="Calibri"/>
        <family val="2"/>
        <charset val="1"/>
      </rPr>
      <t xml:space="preserve">)</t>
    </r>
  </si>
  <si>
    <t xml:space="preserve">مجموع المواد للغسلة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</si>
</sst>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FreeSans"/>
      <family val="2"/>
    </font>
    <font>
      <sz val="11"/>
      <color theme="1"/>
      <name val="FreeSans"/>
      <family val="2"/>
    </font>
    <font>
      <b val="true"/>
      <sz val="11"/>
      <name val="FreeSans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5BD8"/>
        <bgColor rgb="FF3366FF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CC"/>
      <rgbColor rgb="FFCCFFFF"/>
      <rgbColor rgb="FF660066"/>
      <rgbColor rgb="FFFF8080"/>
      <rgbColor rgb="FF1E5B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f aca="false">'مواد الغسلة'!B11</f>
        <v>0.252651515151515</v>
      </c>
      <c r="C2" s="3" t="n">
        <f aca="false">المدخلات!B2*المدخلات!B3/(المدخلات!B5*المدخلات!B6*المدخلات!B7)</f>
        <v>2.05128205128205</v>
      </c>
      <c r="D2" s="3" t="n">
        <f aca="false">المدخلات!B4*المدخلات!B5*52/12/(المدخلات!B5*المدخلات!B6*المدخلات!B7)</f>
        <v>0.277777777777778</v>
      </c>
      <c r="E2" s="3" t="n">
        <f aca="false">B2+C2+D2</f>
        <v>2.58171134421134</v>
      </c>
      <c r="F2" s="2" t="n">
        <v>5</v>
      </c>
      <c r="G2" s="3" t="n">
        <f aca="false">F2-E2</f>
        <v>2.41828865578866</v>
      </c>
      <c r="H2" s="2" t="n">
        <v>6</v>
      </c>
      <c r="I2" s="3" t="n">
        <f aca="false">H2-E2</f>
        <v>3.41828865578866</v>
      </c>
    </row>
    <row r="3" customFormat="false" ht="15" hidden="false" customHeight="false" outlineLevel="0" collapsed="false">
      <c r="A3" s="2" t="s">
        <v>10</v>
      </c>
      <c r="B3" s="3" t="n">
        <f aca="false">'مواد الغسلة'!C11</f>
        <v>0.602651515151515</v>
      </c>
      <c r="C3" s="3" t="n">
        <f aca="false">المدخلات!B2*المدخلات!B3/(المدخلات!B5*المدخلات!B6*المدخلات!B7)</f>
        <v>2.05128205128205</v>
      </c>
      <c r="D3" s="3" t="n">
        <f aca="false">المدخلات!B4*المدخلات!B5*52/12/(المدخلات!B5*المدخلات!B6*المدخلات!B7)</f>
        <v>0.277777777777778</v>
      </c>
      <c r="E3" s="3" t="n">
        <f aca="false">B3+C3+D3</f>
        <v>2.93171134421134</v>
      </c>
      <c r="F3" s="2" t="n">
        <v>7</v>
      </c>
      <c r="G3" s="3" t="n">
        <f aca="false">F3-E3</f>
        <v>4.06828865578866</v>
      </c>
      <c r="H3" s="2" t="n">
        <v>9</v>
      </c>
      <c r="I3" s="3" t="n">
        <f aca="false">H3-E3</f>
        <v>6.06828865578866</v>
      </c>
    </row>
    <row r="4" customFormat="false" ht="15" hidden="false" customHeight="false" outlineLevel="0" collapsed="false">
      <c r="A4" s="2" t="s">
        <v>11</v>
      </c>
      <c r="B4" s="3" t="n">
        <f aca="false">'مواد الغسلة'!D11</f>
        <v>0.782651515151515</v>
      </c>
      <c r="C4" s="3" t="n">
        <f aca="false">المدخلات!B2*المدخلات!B3/(المدخلات!B5*المدخلات!B6*المدخلات!B7)</f>
        <v>2.05128205128205</v>
      </c>
      <c r="D4" s="3" t="n">
        <f aca="false">المدخلات!B4*المدخلات!B5*52/12/(المدخلات!B5*المدخلات!B6*المدخلات!B7)</f>
        <v>0.277777777777778</v>
      </c>
      <c r="E4" s="3" t="n">
        <f aca="false">B4+C4+D4</f>
        <v>3.11171134421134</v>
      </c>
      <c r="F4" s="2" t="n">
        <v>15</v>
      </c>
      <c r="G4" s="3" t="n">
        <f aca="false">F4-E4</f>
        <v>11.8882886557887</v>
      </c>
      <c r="H4" s="2" t="n">
        <v>20</v>
      </c>
      <c r="I4" s="3" t="n">
        <f aca="false">H4-E4</f>
        <v>16.8882886557887</v>
      </c>
    </row>
    <row r="5" customFormat="false" ht="15" hidden="false" customHeight="false" outlineLevel="0" collapsed="false">
      <c r="A5" s="2" t="s">
        <v>12</v>
      </c>
      <c r="B5" s="3" t="n">
        <f aca="false">'مواد الغسلة'!E11</f>
        <v>1.27765151515152</v>
      </c>
      <c r="C5" s="3" t="n">
        <f aca="false">المدخلات!B2*المدخلات!B3/(المدخلات!B5*المدخلات!B6*المدخلات!B7)</f>
        <v>2.05128205128205</v>
      </c>
      <c r="D5" s="3" t="n">
        <f aca="false">المدخلات!B4*المدخلات!B5*52/12/(المدخلات!B5*المدخلات!B6*المدخلات!B7)</f>
        <v>0.277777777777778</v>
      </c>
      <c r="E5" s="3" t="n">
        <f aca="false">B5+C5+D5</f>
        <v>3.60671134421134</v>
      </c>
      <c r="F5" s="2" t="n">
        <v>20</v>
      </c>
      <c r="G5" s="3" t="n">
        <f aca="false">F5-E5</f>
        <v>16.3932886557887</v>
      </c>
      <c r="H5" s="2" t="n">
        <v>25</v>
      </c>
      <c r="I5" s="3" t="n">
        <f aca="false">H5-E5</f>
        <v>21.3932886557887</v>
      </c>
    </row>
    <row r="6" customFormat="false" ht="15" hidden="false" customHeight="false" outlineLevel="0" collapsed="false">
      <c r="A6" s="2" t="s">
        <v>13</v>
      </c>
      <c r="B6" s="3" t="n">
        <f aca="false">'مواد الغسلة'!F11</f>
        <v>3.27765151515152</v>
      </c>
      <c r="C6" s="3" t="n">
        <f aca="false">المدخلات!B2*المدخلات!B3/(المدخلات!B5*المدخلات!B6*المدخلات!B7)</f>
        <v>2.05128205128205</v>
      </c>
      <c r="D6" s="3" t="n">
        <f aca="false">المدخلات!B4*المدخلات!B5*52/12/(المدخلات!B5*المدخلات!B6*المدخلات!B7)</f>
        <v>0.277777777777778</v>
      </c>
      <c r="E6" s="3" t="n">
        <f aca="false">B6+C6+D6</f>
        <v>5.60671134421134</v>
      </c>
      <c r="F6" s="2" t="n">
        <v>35</v>
      </c>
      <c r="G6" s="3" t="n">
        <f aca="false">F6-E6</f>
        <v>29.3932886557887</v>
      </c>
      <c r="H6" s="2" t="n">
        <v>40</v>
      </c>
      <c r="I6" s="3" t="n">
        <f aca="false">H6-E6</f>
        <v>34.3932886557887</v>
      </c>
    </row>
    <row r="8" customFormat="false" ht="15" hidden="false" customHeight="false" outlineLevel="0" collapsed="false">
      <c r="A8" s="4" t="s">
        <v>14</v>
      </c>
    </row>
    <row r="9" customFormat="false" ht="15" hidden="false" customHeight="false" outlineLevel="0" collapsed="false">
      <c r="A9" s="4" t="s">
        <v>15</v>
      </c>
      <c r="B9" s="5" t="n">
        <f aca="false">312*(0.5*AVERAGE(F2,H2)+0.3*AVERAGE(F3,H3)+0.15*AVERAGE(F4,H4,F5,H5)+0.05*AVERAGE(F6,H6))</f>
        <v>3127.8</v>
      </c>
    </row>
    <row r="10" customFormat="false" ht="15" hidden="false" customHeight="false" outlineLevel="0" collapsed="false">
      <c r="A10" s="4" t="s">
        <v>16</v>
      </c>
      <c r="B10" s="5" t="n">
        <f aca="false">312*(0.5*B2+0.3*B3+0.15*AVERAGE(B4,B5)+0.05*B6)</f>
        <v>195.164272727273</v>
      </c>
    </row>
    <row r="11" customFormat="false" ht="15" hidden="false" customHeight="false" outlineLevel="0" collapsed="false">
      <c r="A11" s="4" t="s">
        <v>17</v>
      </c>
      <c r="B11" s="5" t="n">
        <f aca="false">المدخلات!B2*المدخلات!B3</f>
        <v>640</v>
      </c>
    </row>
    <row r="12" customFormat="false" ht="15" hidden="false" customHeight="false" outlineLevel="0" collapsed="false">
      <c r="A12" s="4" t="s">
        <v>18</v>
      </c>
      <c r="B12" s="5" t="n">
        <f aca="false">المدخلات!B4*المدخلات!B5*52/12</f>
        <v>86.6666666666667</v>
      </c>
    </row>
    <row r="13" customFormat="false" ht="15" hidden="false" customHeight="false" outlineLevel="0" collapsed="false">
      <c r="A13" s="4" t="s">
        <v>19</v>
      </c>
      <c r="B13" s="5" t="n">
        <f aca="false">المدخلات!B18</f>
        <v>100</v>
      </c>
    </row>
    <row r="14" customFormat="false" ht="15" hidden="false" customHeight="false" outlineLevel="0" collapsed="false">
      <c r="A14" s="4" t="s">
        <v>20</v>
      </c>
      <c r="B14" s="5" t="n">
        <f aca="false">B10+B11+B12+B13</f>
        <v>1021.83093939394</v>
      </c>
    </row>
    <row r="15" customFormat="false" ht="15" hidden="false" customHeight="false" outlineLevel="0" collapsed="false">
      <c r="A15" s="4" t="s">
        <v>21</v>
      </c>
      <c r="B15" s="6" t="n">
        <f aca="false">B9-B14</f>
        <v>2105.96906060606</v>
      </c>
    </row>
    <row r="16" customFormat="false" ht="15" hidden="false" customHeight="false" outlineLevel="0" collapsed="false">
      <c r="A16" s="4" t="s">
        <v>22</v>
      </c>
      <c r="B16" s="6" t="n">
        <f aca="false">ROUNDUP((B11+B12+B13)/((B9-B10)/312),0)</f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26</v>
      </c>
    </row>
    <row r="2" customFormat="false" ht="15" hidden="false" customHeight="false" outlineLevel="0" collapsed="false">
      <c r="A2" s="2" t="s">
        <v>27</v>
      </c>
      <c r="B2" s="2" t="n">
        <v>4</v>
      </c>
      <c r="C2" s="2" t="s">
        <v>28</v>
      </c>
      <c r="D2" s="2" t="s">
        <v>29</v>
      </c>
    </row>
    <row r="3" customFormat="false" ht="15" hidden="false" customHeight="false" outlineLevel="0" collapsed="false">
      <c r="A3" s="2" t="s">
        <v>30</v>
      </c>
      <c r="B3" s="2" t="n">
        <v>160</v>
      </c>
      <c r="C3" s="2" t="s">
        <v>31</v>
      </c>
      <c r="D3" s="2" t="s">
        <v>29</v>
      </c>
    </row>
    <row r="4" customFormat="false" ht="15" hidden="false" customHeight="false" outlineLevel="0" collapsed="false">
      <c r="A4" s="2" t="s">
        <v>32</v>
      </c>
      <c r="B4" s="2" t="n">
        <v>10</v>
      </c>
      <c r="C4" s="2" t="s">
        <v>33</v>
      </c>
      <c r="D4" s="2" t="s">
        <v>29</v>
      </c>
    </row>
    <row r="5" customFormat="false" ht="15" hidden="false" customHeight="false" outlineLevel="0" collapsed="false">
      <c r="A5" s="2" t="s">
        <v>34</v>
      </c>
      <c r="B5" s="2" t="n">
        <v>2</v>
      </c>
      <c r="C5" s="2" t="s">
        <v>35</v>
      </c>
      <c r="D5" s="2" t="s">
        <v>36</v>
      </c>
    </row>
    <row r="6" customFormat="false" ht="15" hidden="false" customHeight="false" outlineLevel="0" collapsed="false">
      <c r="A6" s="2" t="s">
        <v>37</v>
      </c>
      <c r="B6" s="2" t="n">
        <v>6</v>
      </c>
      <c r="C6" s="2" t="s">
        <v>38</v>
      </c>
      <c r="D6" s="2" t="s">
        <v>29</v>
      </c>
    </row>
    <row r="7" customFormat="false" ht="15" hidden="false" customHeight="false" outlineLevel="0" collapsed="false">
      <c r="A7" s="2" t="s">
        <v>39</v>
      </c>
      <c r="B7" s="2" t="n">
        <v>26</v>
      </c>
      <c r="C7" s="2" t="s">
        <v>40</v>
      </c>
      <c r="D7" s="2" t="s">
        <v>41</v>
      </c>
    </row>
    <row r="8" customFormat="false" ht="15" hidden="false" customHeight="false" outlineLevel="0" collapsed="false">
      <c r="A8" s="2" t="s">
        <v>42</v>
      </c>
      <c r="B8" s="2" t="n">
        <v>9</v>
      </c>
      <c r="C8" s="2" t="s">
        <v>43</v>
      </c>
      <c r="D8" s="2" t="s">
        <v>29</v>
      </c>
    </row>
    <row r="9" customFormat="false" ht="15" hidden="false" customHeight="false" outlineLevel="0" collapsed="false">
      <c r="A9" s="2" t="s">
        <v>44</v>
      </c>
      <c r="B9" s="2" t="n">
        <v>35</v>
      </c>
      <c r="C9" s="2" t="s">
        <v>43</v>
      </c>
      <c r="D9" s="2" t="s">
        <v>29</v>
      </c>
    </row>
    <row r="10" customFormat="false" ht="15" hidden="false" customHeight="false" outlineLevel="0" collapsed="false">
      <c r="A10" s="2" t="s">
        <v>45</v>
      </c>
      <c r="B10" s="2" t="n">
        <v>0.75</v>
      </c>
      <c r="C10" s="2" t="s">
        <v>43</v>
      </c>
      <c r="D10" s="2" t="s">
        <v>46</v>
      </c>
    </row>
    <row r="11" customFormat="false" ht="15" hidden="false" customHeight="false" outlineLevel="0" collapsed="false">
      <c r="A11" s="2" t="s">
        <v>47</v>
      </c>
      <c r="B11" s="2" t="n">
        <v>30</v>
      </c>
      <c r="C11" s="2" t="s">
        <v>38</v>
      </c>
      <c r="D11" s="2" t="s">
        <v>29</v>
      </c>
    </row>
    <row r="12" customFormat="false" ht="15" hidden="false" customHeight="false" outlineLevel="0" collapsed="false">
      <c r="A12" s="2" t="s">
        <v>48</v>
      </c>
      <c r="B12" s="2" t="n">
        <v>10</v>
      </c>
      <c r="C12" s="2" t="s">
        <v>49</v>
      </c>
      <c r="D12" s="2" t="s">
        <v>29</v>
      </c>
    </row>
    <row r="13" customFormat="false" ht="15" hidden="false" customHeight="false" outlineLevel="0" collapsed="false">
      <c r="A13" s="2" t="s">
        <v>50</v>
      </c>
      <c r="B13" s="2" t="n">
        <v>65</v>
      </c>
      <c r="C13" s="2" t="s">
        <v>43</v>
      </c>
      <c r="D13" s="2" t="s">
        <v>29</v>
      </c>
    </row>
    <row r="14" customFormat="false" ht="15" hidden="false" customHeight="false" outlineLevel="0" collapsed="false">
      <c r="A14" s="2" t="s">
        <v>51</v>
      </c>
      <c r="B14" s="2" t="n">
        <v>0.25</v>
      </c>
      <c r="C14" s="2" t="s">
        <v>43</v>
      </c>
      <c r="D14" s="2" t="s">
        <v>29</v>
      </c>
    </row>
    <row r="15" customFormat="false" ht="15" hidden="false" customHeight="false" outlineLevel="0" collapsed="false">
      <c r="A15" s="2" t="s">
        <v>52</v>
      </c>
      <c r="B15" s="2" t="n">
        <v>3</v>
      </c>
      <c r="C15" s="2" t="s">
        <v>43</v>
      </c>
      <c r="D15" s="7" t="s">
        <v>53</v>
      </c>
    </row>
    <row r="16" customFormat="false" ht="15" hidden="false" customHeight="false" outlineLevel="0" collapsed="false">
      <c r="A16" s="2" t="s">
        <v>54</v>
      </c>
      <c r="B16" s="7" t="n">
        <v>40</v>
      </c>
      <c r="C16" s="2" t="s">
        <v>55</v>
      </c>
      <c r="D16" s="2" t="s">
        <v>56</v>
      </c>
    </row>
    <row r="17" customFormat="false" ht="15" hidden="false" customHeight="false" outlineLevel="0" collapsed="false">
      <c r="A17" s="2" t="s">
        <v>57</v>
      </c>
      <c r="B17" s="7" t="n">
        <v>2</v>
      </c>
      <c r="C17" s="2" t="s">
        <v>58</v>
      </c>
      <c r="D17" s="2" t="s">
        <v>56</v>
      </c>
    </row>
    <row r="18" customFormat="false" ht="15" hidden="false" customHeight="false" outlineLevel="0" collapsed="false">
      <c r="A18" s="2" t="s">
        <v>59</v>
      </c>
      <c r="B18" s="7" t="n">
        <v>100</v>
      </c>
      <c r="C18" s="2" t="s">
        <v>31</v>
      </c>
      <c r="D18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2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60</v>
      </c>
      <c r="B1" s="1" t="s">
        <v>9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customFormat="false" ht="15" hidden="false" customHeight="false" outlineLevel="0" collapsed="false">
      <c r="A2" s="2" t="s">
        <v>66</v>
      </c>
      <c r="B2" s="7" t="n">
        <f aca="false">0.5*(12.5/49.5)*(المدخلات!B8/20)</f>
        <v>0.0568181818181818</v>
      </c>
      <c r="C2" s="7" t="n">
        <f aca="false">B2</f>
        <v>0.0568181818181818</v>
      </c>
      <c r="D2" s="7" t="n">
        <f aca="false">B2</f>
        <v>0.0568181818181818</v>
      </c>
      <c r="E2" s="7" t="n">
        <f aca="false">B2</f>
        <v>0.0568181818181818</v>
      </c>
      <c r="F2" s="7" t="n">
        <f aca="false">B2</f>
        <v>0.0568181818181818</v>
      </c>
      <c r="G2" s="7" t="s">
        <v>67</v>
      </c>
    </row>
    <row r="3" customFormat="false" ht="15" hidden="false" customHeight="false" outlineLevel="0" collapsed="false">
      <c r="A3" s="2" t="s">
        <v>68</v>
      </c>
      <c r="B3" s="7" t="n">
        <f aca="false">0.25*(5/50)*(المدخلات!B9/5)</f>
        <v>0.175</v>
      </c>
      <c r="C3" s="7" t="n">
        <f aca="false">B3</f>
        <v>0.175</v>
      </c>
      <c r="D3" s="7" t="n">
        <f aca="false">B3</f>
        <v>0.175</v>
      </c>
      <c r="E3" s="7" t="n">
        <f aca="false">B3</f>
        <v>0.175</v>
      </c>
      <c r="F3" s="7" t="n">
        <f aca="false">B3</f>
        <v>0.175</v>
      </c>
      <c r="G3" s="7" t="s">
        <v>69</v>
      </c>
    </row>
    <row r="4" customFormat="false" ht="15" hidden="false" customHeight="false" outlineLevel="0" collapsed="false">
      <c r="A4" s="2" t="s">
        <v>70</v>
      </c>
      <c r="B4" s="7" t="n">
        <f aca="false">(المدخلات!B12/(المدخلات!B5*المدخلات!B6))*(المدخلات!B10/المدخلات!B11)</f>
        <v>0.0208333333333333</v>
      </c>
      <c r="C4" s="7" t="n">
        <f aca="false">B4</f>
        <v>0.0208333333333333</v>
      </c>
      <c r="D4" s="7" t="n">
        <f aca="false">B4</f>
        <v>0.0208333333333333</v>
      </c>
      <c r="E4" s="7" t="n">
        <f aca="false">B4</f>
        <v>0.0208333333333333</v>
      </c>
      <c r="F4" s="7" t="n">
        <f aca="false">B4</f>
        <v>0.0208333333333333</v>
      </c>
      <c r="G4" s="2" t="s">
        <v>71</v>
      </c>
    </row>
    <row r="5" customFormat="false" ht="15" hidden="false" customHeight="false" outlineLevel="0" collapsed="false">
      <c r="A5" s="2" t="s">
        <v>72</v>
      </c>
      <c r="B5" s="7" t="n">
        <v>0</v>
      </c>
      <c r="C5" s="7" t="n">
        <f aca="false">المدخلات!B16*(المدخلات!B15/500)</f>
        <v>0.24</v>
      </c>
      <c r="D5" s="7" t="n">
        <f aca="false">C5</f>
        <v>0.24</v>
      </c>
      <c r="E5" s="7" t="n">
        <f aca="false">C5</f>
        <v>0.24</v>
      </c>
      <c r="F5" s="7" t="n">
        <f aca="false">C5</f>
        <v>0.24</v>
      </c>
      <c r="G5" s="2" t="s">
        <v>73</v>
      </c>
    </row>
    <row r="6" customFormat="false" ht="15" hidden="false" customHeight="false" outlineLevel="0" collapsed="false">
      <c r="A6" s="2" t="s">
        <v>74</v>
      </c>
      <c r="B6" s="7" t="n">
        <v>0</v>
      </c>
      <c r="C6" s="7" t="n">
        <v>0.02</v>
      </c>
      <c r="D6" s="7" t="n">
        <f aca="false">C6</f>
        <v>0.02</v>
      </c>
      <c r="E6" s="7" t="n">
        <f aca="false">C6</f>
        <v>0.02</v>
      </c>
      <c r="F6" s="7" t="n">
        <f aca="false">C6</f>
        <v>0.02</v>
      </c>
      <c r="G6" s="2" t="s">
        <v>56</v>
      </c>
    </row>
    <row r="7" customFormat="false" ht="15" hidden="false" customHeight="false" outlineLevel="0" collapsed="false">
      <c r="A7" s="2" t="s">
        <v>75</v>
      </c>
      <c r="B7" s="7" t="n">
        <v>0</v>
      </c>
      <c r="C7" s="7" t="n">
        <v>0.09</v>
      </c>
      <c r="D7" s="7" t="n">
        <v>0.27</v>
      </c>
      <c r="E7" s="7" t="n">
        <v>0.27</v>
      </c>
      <c r="F7" s="7" t="n">
        <v>0.27</v>
      </c>
      <c r="G7" s="2" t="s">
        <v>56</v>
      </c>
    </row>
    <row r="8" customFormat="false" ht="15" hidden="false" customHeight="false" outlineLevel="0" collapsed="false">
      <c r="A8" s="2" t="s">
        <v>76</v>
      </c>
      <c r="B8" s="7" t="n">
        <v>0</v>
      </c>
      <c r="C8" s="7" t="n">
        <v>0</v>
      </c>
      <c r="D8" s="7" t="n">
        <v>0</v>
      </c>
      <c r="E8" s="7" t="n">
        <f aca="false">المدخلات!B14+المدخلات!B13/1000</f>
        <v>0.315</v>
      </c>
      <c r="F8" s="7" t="n">
        <f aca="false">E8</f>
        <v>0.315</v>
      </c>
      <c r="G8" s="2" t="s">
        <v>77</v>
      </c>
    </row>
    <row r="9" customFormat="false" ht="15" hidden="false" customHeight="false" outlineLevel="0" collapsed="false">
      <c r="A9" s="2" t="s">
        <v>78</v>
      </c>
      <c r="B9" s="7" t="n">
        <v>0</v>
      </c>
      <c r="C9" s="7" t="n">
        <v>0</v>
      </c>
      <c r="D9" s="7" t="n">
        <v>0</v>
      </c>
      <c r="E9" s="7" t="n">
        <v>0.18</v>
      </c>
      <c r="F9" s="7" t="n">
        <v>0.18</v>
      </c>
      <c r="G9" s="2" t="s">
        <v>56</v>
      </c>
    </row>
    <row r="10" customFormat="false" ht="15" hidden="false" customHeight="false" outlineLevel="0" collapsed="false">
      <c r="A10" s="2" t="s">
        <v>79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f aca="false">المدخلات!B17</f>
        <v>2</v>
      </c>
      <c r="G10" s="2" t="s">
        <v>56</v>
      </c>
    </row>
    <row r="11" customFormat="false" ht="15" hidden="false" customHeight="false" outlineLevel="0" collapsed="false">
      <c r="A11" s="8" t="s">
        <v>80</v>
      </c>
      <c r="B11" s="8" t="n">
        <f aca="false">SUM(B2:B10)</f>
        <v>0.252651515151515</v>
      </c>
      <c r="C11" s="8" t="n">
        <f aca="false">SUM(C2:C10)</f>
        <v>0.602651515151515</v>
      </c>
      <c r="D11" s="8" t="n">
        <f aca="false">SUM(D2:D10)</f>
        <v>0.782651515151515</v>
      </c>
      <c r="E11" s="8" t="n">
        <f aca="false">SUM(E2:E10)</f>
        <v>1.27765151515152</v>
      </c>
      <c r="F11" s="8" t="n">
        <f aca="false">SUM(F2:F10)</f>
        <v>3.27765151515152</v>
      </c>
      <c r="G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2026-10-20T22:51:54Z</dcterms:created>
  <dc:creator>openpyxl</dc:creator>
  <dc:description/>
  <dc:language>en-US</dc:language>
  <cp:lastModifiedBy/>
  <dcterms:modified xsi:type="dcterms:W3CDTF">2026-10-20T22:52:11Z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